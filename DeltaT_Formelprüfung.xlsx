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_Eingabeparameter" sheetId="1" state="visible" r:id="rId3"/>
    <sheet name="2_Formeldokumentation" sheetId="2" state="visible" r:id="rId4"/>
    <sheet name="3_Berechnungsmodell" sheetId="3" state="visible" r:id="rId5"/>
    <sheet name="4_Literaturquelle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<sst xmlns="http://schemas.openxmlformats.org/spreadsheetml/2006/main" count="482" uniqueCount="298">
  <si>
    <t xml:space="preserve">DeltaT – Eingabeparameter</t>
  </si>
  <si>
    <t xml:space="preserve">Alle 12 Eingangsgrößen mit Standardwert, Einheit, Wertebereich und Beschreibung</t>
  </si>
  <si>
    <t xml:space="preserve">#</t>
  </si>
  <si>
    <t xml:space="preserve">Parameter</t>
  </si>
  <si>
    <t xml:space="preserve">Symbol</t>
  </si>
  <si>
    <t xml:space="preserve">Standardwert</t>
  </si>
  <si>
    <t xml:space="preserve">Einheit</t>
  </si>
  <si>
    <t xml:space="preserve">Wertebereich</t>
  </si>
  <si>
    <t xml:space="preserve">Beschreibung</t>
  </si>
  <si>
    <t xml:space="preserve">Reservoirtiefe</t>
  </si>
  <si>
    <t xml:space="preserve">h</t>
  </si>
  <si>
    <t xml:space="preserve">m</t>
  </si>
  <si>
    <t xml:space="preserve">100 – 5 000 m</t>
  </si>
  <si>
    <t xml:space="preserve">Vertikale Tiefe der Bohrung ab GOF. Bestimmt Pumpendruckhöhe (→ Pumpenleistung) und spez. Wärmeleistung [W/m].</t>
  </si>
  <si>
    <t xml:space="preserve">Aquifer-Mächtigkeit</t>
  </si>
  <si>
    <t xml:space="preserve">b</t>
  </si>
  <si>
    <t xml:space="preserve">5 – 300 m</t>
  </si>
  <si>
    <t xml:space="preserve">Vertikale Dicke des wasserführenden Horizonts. Geht direkt in Transmissivität T und thermische Durchbruchszeit ein.</t>
  </si>
  <si>
    <t xml:space="preserve">Hydr. Leitfähigkeit</t>
  </si>
  <si>
    <t xml:space="preserve">k_f</t>
  </si>
  <si>
    <t xml:space="preserve">m/s</t>
  </si>
  <si>
    <t xml:space="preserve">1×10⁻⁶ – 1×10⁻² m/s</t>
  </si>
  <si>
    <t xml:space="preserve">Durchlässigkeitsbeiwert des Aquifers (log. Skala). Mit Mächtigkeit b → Transmissivität T = k_f × b.</t>
  </si>
  <si>
    <t xml:space="preserve">Grundwassertemperatur</t>
  </si>
  <si>
    <t xml:space="preserve">T_GW</t>
  </si>
  <si>
    <t xml:space="preserve">°C</t>
  </si>
  <si>
    <t xml:space="preserve">5 – 180 °C</t>
  </si>
  <si>
    <t xml:space="preserve">Natürliche Reservoirtemperatur. Obere Grenze des Temperaturhubs; Basis der COP-Berechnung.</t>
  </si>
  <si>
    <t xml:space="preserve">TDS (Mineralisation)</t>
  </si>
  <si>
    <t xml:space="preserve">TDS</t>
  </si>
  <si>
    <t xml:space="preserve">mg/l</t>
  </si>
  <si>
    <t xml:space="preserve">0 – 200 000 mg/l</t>
  </si>
  <si>
    <t xml:space="preserve">Gesamtgehalt gelöster Feststoffe. Bestimmt Materialklasse (Edelstahl / Duplex / Titan) und Scaling-Risikoklasse.</t>
  </si>
  <si>
    <t xml:space="preserve">Förderrate</t>
  </si>
  <si>
    <t xml:space="preserve">Q</t>
  </si>
  <si>
    <t xml:space="preserve">l/s</t>
  </si>
  <si>
    <t xml:space="preserve">1 – 200 l/s</t>
  </si>
  <si>
    <t xml:space="preserve">Volumenstrom der Förderbohrung. Kernparameter für Wärmeleistung, Pumpenleistung und thermische Durchbruchszeit.</t>
  </si>
  <si>
    <t xml:space="preserve">Reinjektionstemperatur</t>
  </si>
  <si>
    <t xml:space="preserve">T_R</t>
  </si>
  <si>
    <t xml:space="preserve">5 – 40 °C</t>
  </si>
  <si>
    <t xml:space="preserve">Temperatur des abgekühlten Wassers bei Rückeinspeisung. Nutzbare ΔT = T_GW − T_R.</t>
  </si>
  <si>
    <t xml:space="preserve">Bohrloch-Abstand</t>
  </si>
  <si>
    <t xml:space="preserve">d</t>
  </si>
  <si>
    <t xml:space="preserve">20 – 2 000 m</t>
  </si>
  <si>
    <t xml:space="preserve">Horizontalabstand Förder-/Reinjektionsbohrung. Bestimmt thermische Durchbruchszeit (Drost 1978).</t>
  </si>
  <si>
    <t xml:space="preserve">Ziel-Wärmeleistung</t>
  </si>
  <si>
    <t xml:space="preserve">Q_Ziel</t>
  </si>
  <si>
    <t xml:space="preserve">kW</t>
  </si>
  <si>
    <t xml:space="preserve">100 – 100 000 kW</t>
  </si>
  <si>
    <t xml:space="preserve">Gewünschte Gesamtleistung der Anlage. Ergibt Anzahl der benötigten Dubletten.</t>
  </si>
  <si>
    <t xml:space="preserve">Vorlauftemperatur</t>
  </si>
  <si>
    <t xml:space="preserve">T_VL</t>
  </si>
  <si>
    <t xml:space="preserve">30 – 160 °C</t>
  </si>
  <si>
    <t xml:space="preserve">Warmseite Wärmenetz / Prozess. Bestimmt Temperaturhub ΔT_hub und WP-Typ-Klassifikation.</t>
  </si>
  <si>
    <t xml:space="preserve">Rücklauftemperatur</t>
  </si>
  <si>
    <t xml:space="preserve">T_RL</t>
  </si>
  <si>
    <t xml:space="preserve">20 – 80 °C</t>
  </si>
  <si>
    <t xml:space="preserve">Kaltrücklauf aus dem Wärmenetz. Kälteste Seite im Gegenstrom-Wärmetauscher (→ LMTD).</t>
  </si>
  <si>
    <t xml:space="preserve">Laufstunden</t>
  </si>
  <si>
    <t xml:space="preserve">t_LZ</t>
  </si>
  <si>
    <t xml:space="preserve">h/a</t>
  </si>
  <si>
    <t xml:space="preserve">500 – 8 760 h/a</t>
  </si>
  <si>
    <t xml:space="preserve">Volllaststunden pro Jahr. Mit Gesamtleistung → Jahreswärmemenge E_a [MWh/a].</t>
  </si>
  <si>
    <t xml:space="preserve">DeltaT – Vollständige Formeldokumentation (alle 21 Berechnungen &amp; Klassifikationsregeln)</t>
  </si>
  <si>
    <t xml:space="preserve">Mathematische Notation · Eingaben · Konstanten · Literaturquelle</t>
  </si>
  <si>
    <t xml:space="preserve">Berechnung / Regel</t>
  </si>
  <si>
    <t xml:space="preserve">Formel / Schwellwert</t>
  </si>
  <si>
    <t xml:space="preserve">Eingaben</t>
  </si>
  <si>
    <t xml:space="preserve">Konstanten / Annahmen</t>
  </si>
  <si>
    <t xml:space="preserve">Quelle (Kürzel)</t>
  </si>
  <si>
    <t xml:space="preserve">Vollständige Referenz</t>
  </si>
  <si>
    <t xml:space="preserve">▌ HYDRAULIK &amp; GEOLOGIE</t>
  </si>
  <si>
    <t xml:space="preserve">Transmissivität</t>
  </si>
  <si>
    <t xml:space="preserve">T</t>
  </si>
  <si>
    <t xml:space="preserve">T = k_f × b</t>
  </si>
  <si>
    <t xml:space="preserve">m²/s</t>
  </si>
  <si>
    <t xml:space="preserve">k_f, b</t>
  </si>
  <si>
    <t xml:space="preserve">–</t>
  </si>
  <si>
    <t xml:space="preserve">VDI 4640 Bl. 1</t>
  </si>
  <si>
    <t xml:space="preserve">VDI-Richtlinie 4640 Bl. 1 – Thermische Nutzung des Untergrundes. VDI, Düsseldorf, 2019.</t>
  </si>
  <si>
    <t xml:space="preserve">Hydraulik-Ampel
(Schwellwert Transmissivität)</t>
  </si>
  <si>
    <t xml:space="preserve">s_Hyd</t>
  </si>
  <si>
    <t xml:space="preserve">grün: T &gt; 10⁻³ m²/s
gelb: T &gt; 10⁻⁴ m²/s
rot: T ≤ 10⁻⁴ m²/s</t>
  </si>
  <si>
    <t xml:space="preserve">Schwelle 10⁻³ m²/s = wirtschaftliche Mindest-Transmissivität für Geothermie</t>
  </si>
  <si>
    <t xml:space="preserve">Kühn 2012; VDI 4640 Bl. 1</t>
  </si>
  <si>
    <t xml:space="preserve">Kühn, M. (Hrsg.): Geothermische Reservoire. Springer, 2012.
VDI 4640 Bl. 1, Kap. 5.3.</t>
  </si>
  <si>
    <t xml:space="preserve">▌ PRIMÄRKREIS – THERMISCHE LEISTUNG</t>
  </si>
  <si>
    <t xml:space="preserve">Nutzbare Temperaturdiff.</t>
  </si>
  <si>
    <t xml:space="preserve">ΔT</t>
  </si>
  <si>
    <t xml:space="preserve">ΔT = T_GW − T_R</t>
  </si>
  <si>
    <t xml:space="preserve">K</t>
  </si>
  <si>
    <t xml:space="preserve">T_GW, T_R</t>
  </si>
  <si>
    <t xml:space="preserve">Energiebilanz</t>
  </si>
  <si>
    <t xml:space="preserve">Grundlegende Energiebilanz; keine spezifische Norm erforderlich.</t>
  </si>
  <si>
    <t xml:space="preserve">Therm. Leistung je Doublett</t>
  </si>
  <si>
    <t xml:space="preserve">Q_th</t>
  </si>
  <si>
    <t xml:space="preserve">Q_th = Q × c_p × ΔT</t>
  </si>
  <si>
    <t xml:space="preserve">Q [l/s≈kg/s], ΔT [K]</t>
  </si>
  <si>
    <t xml:space="preserve">c_p = 4,18 kJ/(kg·K) für Thermalwasser; ρ ≈ 1 kg/l → Q[l/s] ≈ ṁ[kg/s]</t>
  </si>
  <si>
    <t xml:space="preserve">Sanner et al. 2003</t>
  </si>
  <si>
    <t xml:space="preserve">Sanner, B. et al.: Ground source heat pumps in Europe. Geothermics 32(4–6), 579–588, 2003.</t>
  </si>
  <si>
    <t xml:space="preserve">Anzahl Doubletten</t>
  </si>
  <si>
    <t xml:space="preserve">n_D</t>
  </si>
  <si>
    <t xml:space="preserve">n_D = ⌈ Q_Ziel / Q_th ⌉</t>
  </si>
  <si>
    <t xml:space="preserve">Q_Ziel, Q_th</t>
  </si>
  <si>
    <t xml:space="preserve">Aufrunden (CEILING) auf ganze Zahl</t>
  </si>
  <si>
    <t xml:space="preserve">Planungspraxis Geothermie; kein spezifischer Normverweis.</t>
  </si>
  <si>
    <t xml:space="preserve">Gesamtleistung</t>
  </si>
  <si>
    <t xml:space="preserve">Q_ges</t>
  </si>
  <si>
    <t xml:space="preserve">Q_ges = n_D × Q_th</t>
  </si>
  <si>
    <t xml:space="preserve">n_D, Q_th</t>
  </si>
  <si>
    <t xml:space="preserve">Gesamtförderrate</t>
  </si>
  <si>
    <t xml:space="preserve">Q_hyd</t>
  </si>
  <si>
    <t xml:space="preserve">Q_hyd = n_D × Q</t>
  </si>
  <si>
    <t xml:space="preserve">n_D, Q</t>
  </si>
  <si>
    <t xml:space="preserve">Jahreswärmemenge</t>
  </si>
  <si>
    <t xml:space="preserve">E_a</t>
  </si>
  <si>
    <t xml:space="preserve">E_a = Q_ges × t_LZ / 1000</t>
  </si>
  <si>
    <t xml:space="preserve">MWh/a</t>
  </si>
  <si>
    <t xml:space="preserve">Q_ges [kW], t_LZ [h/a]</t>
  </si>
  <si>
    <t xml:space="preserve">Standardformel der Energietechnik (Leistung × Zeit).</t>
  </si>
  <si>
    <t xml:space="preserve">▌ PRIMÄRKREIS – PUMPE &amp; BOHRLOCHGEOMETRIE</t>
  </si>
  <si>
    <t xml:space="preserve">Tauchpumpenleistung</t>
  </si>
  <si>
    <t xml:space="preserve">P_pump</t>
  </si>
  <si>
    <t xml:space="preserve">P_pump = (Q/1000)×ρ×g×h / η</t>
  </si>
  <si>
    <t xml:space="preserve">Q [l/s], h [m]</t>
  </si>
  <si>
    <t xml:space="preserve">ρ = 1 000 kg/m³; g = 9,81 m/s²; η = 0,60 (Pumpenwirkungsgrad)</t>
  </si>
  <si>
    <t xml:space="preserve">VDI 3803</t>
  </si>
  <si>
    <t xml:space="preserve">VDI 3803 Bl. 1 – Wärmepumpen; Leistungsangaben und Kenngrößen. VDI, Düsseldorf.</t>
  </si>
  <si>
    <t xml:space="preserve">Spez. Wärmeleistung</t>
  </si>
  <si>
    <t xml:space="preserve">q_spez</t>
  </si>
  <si>
    <t xml:space="preserve">q_spez = Q_th × 1 000 / h</t>
  </si>
  <si>
    <t xml:space="preserve">W/m</t>
  </si>
  <si>
    <t xml:space="preserve">Q_th [kW], h [m]</t>
  </si>
  <si>
    <t xml:space="preserve">VDI 4640 Bl. 2</t>
  </si>
  <si>
    <t xml:space="preserve">VDI 4640 Bl. 2 – Erdgekoppelte Wärmepumpenanlagen. VDI, 2019.</t>
  </si>
  <si>
    <t xml:space="preserve">Therm. Durchbruchszeit</t>
  </si>
  <si>
    <t xml:space="preserve">t_break</t>
  </si>
  <si>
    <t xml:space="preserve">t_break = π·n·b·d² / (4·Q_m) / (365·86 400)</t>
  </si>
  <si>
    <t xml:space="preserve">Jahre</t>
  </si>
  <si>
    <t xml:space="preserve">b [m], d [m], Q [l/s→m³/s]</t>
  </si>
  <si>
    <t xml:space="preserve">n = 0,25 (Porosität, dimensionslos); Q_m = Q/1 000 [m³/s]</t>
  </si>
  <si>
    <t xml:space="preserve">Drost 1978</t>
  </si>
  <si>
    <t xml:space="preserve">Drost, W.: Methoden der Grundwasserhydrologie. Akademie-Verlag, Berlin, 1978.</t>
  </si>
  <si>
    <t xml:space="preserve">Optimaler Bohrloch-Abstand</t>
  </si>
  <si>
    <t xml:space="preserve">d_opt</t>
  </si>
  <si>
    <t xml:space="preserve">d_opt = √( 4·Q_m·t_ref·365·86 400 / (π·n·b) )</t>
  </si>
  <si>
    <t xml:space="preserve">Q [l/s→m³/s], b [m]</t>
  </si>
  <si>
    <t xml:space="preserve">n = 0,25; t_ref = 25 Jahre (planerischer Richtwert)</t>
  </si>
  <si>
    <t xml:space="preserve">Durchbruchs-Ampel
(Schwellwert Durchbruchszeit)</t>
  </si>
  <si>
    <t xml:space="preserve">s_Dur</t>
  </si>
  <si>
    <t xml:space="preserve">grün: t_break &gt; 25 a
gelb: t_break &gt; 15 a
rot: t_break ≤ 15 a</t>
  </si>
  <si>
    <t xml:space="preserve">Planungshorizont Geothermie: ≥ 25 Jahre wirtschaftlich</t>
  </si>
  <si>
    <t xml:space="preserve">Lienhard 2020</t>
  </si>
  <si>
    <t xml:space="preserve">Lienhard, J.: A Heat Transfer Textbook, 5th ed., Dover, 2020 (Kapitel Reservoirthermie).</t>
  </si>
  <si>
    <t xml:space="preserve">▌ SEKUNDÄRKREIS – WÄRMEPUMPE &amp; COP</t>
  </si>
  <si>
    <t xml:space="preserve">COP Wärmepumpe (Carnot-Ansatz)</t>
  </si>
  <si>
    <t xml:space="preserve">COP</t>
  </si>
  <si>
    <t xml:space="preserve">COP = (T_VL / (T_VL − T_GW)) × η_Carnot
[T in Kelvin]</t>
  </si>
  <si>
    <t xml:space="preserve">T_VL [°C→K], T_GW [°C→K]</t>
  </si>
  <si>
    <t xml:space="preserve">η_Carnot = 0,50 (50 % des theoretischen Carnot-COP; valide für 45–55 % gemäß Literatur)</t>
  </si>
  <si>
    <t xml:space="preserve">Arpagaus et al. 2018;
IEA HP Annex 35</t>
  </si>
  <si>
    <t xml:space="preserve">Arpagaus, C. et al.: High temperature heat pumps. Energy 152, 985–1010, 2018.
IEA HPP Annex 35 – Application of industrial heat pumps, 2011.</t>
  </si>
  <si>
    <t xml:space="preserve">El. Leistung Wärmepumpe</t>
  </si>
  <si>
    <t xml:space="preserve">P_el</t>
  </si>
  <si>
    <t xml:space="preserve">P_el = Q_geo / (COP − 1)
(aus COP-Definition: COP = (Q_geo + P_el) / P_el)</t>
  </si>
  <si>
    <t xml:space="preserve">Q_ges [kW], COP</t>
  </si>
  <si>
    <t xml:space="preserve">EN 14511</t>
  </si>
  <si>
    <t xml:space="preserve">DIN EN 14511 – Wärmepumpen für Raumbeheizung und -kühlung. CEN, 2018.</t>
  </si>
  <si>
    <t xml:space="preserve">COP-Ampel (Schwellwert)</t>
  </si>
  <si>
    <t xml:space="preserve">s_COP</t>
  </si>
  <si>
    <t xml:space="preserve">grün: COP &gt; 3
gelb: COP &gt; 2
rot: COP ≤ 2</t>
  </si>
  <si>
    <t xml:space="preserve">COP &lt; 2 gilt als unwirtschaftlich für Wärmenetzanwendungen</t>
  </si>
  <si>
    <t xml:space="preserve">EN 14511; Arpagaus et al. 2018</t>
  </si>
  <si>
    <t xml:space="preserve">DIN EN 14511, 2018; Arpagaus et al., Energy 152, 2018.</t>
  </si>
  <si>
    <t xml:space="preserve">WP-Typ-Klassifikation</t>
  </si>
  <si>
    <t xml:space="preserve">WP-Typ</t>
  </si>
  <si>
    <t xml:space="preserve">ΔT_hub = T_VL − T_GW
≤ 0 K → Direktnutzung
1–35 K → Standard-WP
35–60 K → HT-WP
&gt; 60 K → Industrielle HT-WP / ORC</t>
  </si>
  <si>
    <t xml:space="preserve">T_VL, T_GW</t>
  </si>
  <si>
    <t xml:space="preserve">VDI 4640 Bl. 4;
EN 14511;
Arpagaus 2018;
Zühlsdorf 2019</t>
  </si>
  <si>
    <t xml:space="preserve">VDI 4640 Bl. 4, 2022; EN 14511, 2018;
Arpagaus et al., Energy 152, 2018;
Zühlsdorf et al., JRSE 11(3), 2019.</t>
  </si>
  <si>
    <t xml:space="preserve">▌ SEKUNDÄRKREIS – WÄRMETAUSCHER</t>
  </si>
  <si>
    <t xml:space="preserve">LMTD (Gegenstrom)</t>
  </si>
  <si>
    <t xml:space="preserve">LMTD</t>
  </si>
  <si>
    <t xml:space="preserve">LMTD = (ΔT₁ − ΔT₂) / ln(ΔT₁/ΔT₂)
ΔT₁ = T_GW − T_VL
ΔT₂ = T_R − T_RL</t>
  </si>
  <si>
    <t xml:space="preserve">T_GW, T_R, T_VL, T_RL</t>
  </si>
  <si>
    <t xml:space="preserve">Gegenstromführung; Sonderfall ΔT₁ = ΔT₂: LMTD = ΔT₁</t>
  </si>
  <si>
    <t xml:space="preserve">VDI Wärmeatlas 2019</t>
  </si>
  <si>
    <t xml:space="preserve">VDI Wärmeatlas, 12. Aufl., Springer Vieweg, 2019. Abschn. C1.</t>
  </si>
  <si>
    <t xml:space="preserve">Wärmetauscherfläche</t>
  </si>
  <si>
    <t xml:space="preserve">A_WT</t>
  </si>
  <si>
    <t xml:space="preserve">A_WT = Q_ges × 1 000 / (U × LMTD)</t>
  </si>
  <si>
    <t xml:space="preserve">m²</t>
  </si>
  <si>
    <t xml:space="preserve">Q_ges [kW], LMTD [K]</t>
  </si>
  <si>
    <t xml:space="preserve">U = 4 000 W/(m²·K) für Plattenwärmetauscher (konservativ)</t>
  </si>
  <si>
    <t xml:space="preserve">VDI Wärmeatlas, 12. Aufl., 2019. U-Wert Plattenwärmetauscher: 3 500–6 000 W/(m²·K).</t>
  </si>
  <si>
    <t xml:space="preserve">▌ MATERIALWAHL &amp; SCALING-RISIKO (TDS-basiert)</t>
  </si>
  <si>
    <t xml:space="preserve">Materialklassen-Empfehlung</t>
  </si>
  <si>
    <t xml:space="preserve">Werkstoff</t>
  </si>
  <si>
    <t xml:space="preserve">TDS &lt; 1 000 mg/l → 1.4571 Edelstahl
1 000–10 000 mg/l → 1.4462 Duplex-Stahl
&gt; 10 000 mg/l → Titan / Hastelloy C-276</t>
  </si>
  <si>
    <t xml:space="preserve">TDS [mg/l]</t>
  </si>
  <si>
    <t xml:space="preserve">Schwellwerte auf Basis Chlorid-Korrosionsbeständigkeit</t>
  </si>
  <si>
    <t xml:space="preserve">VDI 2045; DVGW W 101</t>
  </si>
  <si>
    <t xml:space="preserve">VDI 2045 – Korrosion durch Wasser. VDI, Düsseldorf.
DVGW W 101 – Richtlinien für Trinkwasserschutzzonen. DVGW, Bonn, 1995.</t>
  </si>
  <si>
    <t xml:space="preserve">Scaling-Risikoklasse</t>
  </si>
  <si>
    <t xml:space="preserve">Scaling</t>
  </si>
  <si>
    <t xml:space="preserve">TDS &lt; 500 mg/l → gering
500–5 000 mg/l → mittel (Inhibitoren)
&gt; 5 000 mg/l → hoch (chem. Behandlung)</t>
  </si>
  <si>
    <t xml:space="preserve">Scaling-Schwellwerte: vereinfachte Näherung; exakte Risikoabschätzung erfordert Sättigungsindex (Langelier SI)</t>
  </si>
  <si>
    <t xml:space="preserve">DVGW W 101;
DIN 4030</t>
  </si>
  <si>
    <t xml:space="preserve">DVGW W 101, 1995.
DIN 4030-1 – Beurteilung betonangreifender Wässer. DIN, 2008.</t>
  </si>
  <si>
    <t xml:space="preserve">DeltaT – Live-Berechnungsmodell (veränderbare Excel-Formeln)</t>
  </si>
  <si>
    <t xml:space="preserve">Blau = Eingabe  |  Schwarz = Formel  |  Gelb hervorgehoben = Schlüsselergebnis  |  Spalte E = Literaturquelle</t>
  </si>
  <si>
    <t xml:space="preserve">Parameter / Berechnung</t>
  </si>
  <si>
    <t xml:space="preserve">Wert</t>
  </si>
  <si>
    <t xml:space="preserve">Literaturquelle</t>
  </si>
  <si>
    <t xml:space="preserve">▌ EINGABEPARAMETER</t>
  </si>
  <si>
    <t xml:space="preserve">▌ HYDRAULIK</t>
  </si>
  <si>
    <t xml:space="preserve">VDI 4640 Bl. 1; Kühn 2012</t>
  </si>
  <si>
    <t xml:space="preserve">Hydraulik-Ampel</t>
  </si>
  <si>
    <t xml:space="preserve">▌ PRIMÄRKREIS – THERMIK</t>
  </si>
  <si>
    <t xml:space="preserve">Temperaturdifferenz</t>
  </si>
  <si>
    <t xml:space="preserve">Therm. Leistung/Doublett</t>
  </si>
  <si>
    <t xml:space="preserve">Planungspraxis</t>
  </si>
  <si>
    <t xml:space="preserve">Standardformel</t>
  </si>
  <si>
    <t xml:space="preserve">▌ PUMPE &amp; BOHRLOCHGEOMETRIE</t>
  </si>
  <si>
    <t xml:space="preserve">Tauchpumpenleistung/Doublett</t>
  </si>
  <si>
    <t xml:space="preserve">VDI 3803 (η=0,60)</t>
  </si>
  <si>
    <t xml:space="preserve">Thermische Durchbruchszeit</t>
  </si>
  <si>
    <t xml:space="preserve">Durchbruchs-Ampel</t>
  </si>
  <si>
    <t xml:space="preserve">▌ WÄRMEPUMPE &amp; COP</t>
  </si>
  <si>
    <t xml:space="preserve">Temperaturhub</t>
  </si>
  <si>
    <t xml:space="preserve">ΔT_hub</t>
  </si>
  <si>
    <t xml:space="preserve">VDI 4640 Bl. 4</t>
  </si>
  <si>
    <t xml:space="preserve">COP (Carnot × 50%)</t>
  </si>
  <si>
    <t xml:space="preserve">Arpagaus et al. 2018</t>
  </si>
  <si>
    <t xml:space="preserve">COP-Ampel</t>
  </si>
  <si>
    <t xml:space="preserve">EN 14511; Arpagaus 2018</t>
  </si>
  <si>
    <t xml:space="preserve">VDI 4640; Arpagaus; Zühlsdorf</t>
  </si>
  <si>
    <t xml:space="preserve">▌ WÄRMETAUSCHER (LMTD, GEGENSTROM)</t>
  </si>
  <si>
    <t xml:space="preserve">ΔT₁ = T_GW − T_VL</t>
  </si>
  <si>
    <t xml:space="preserve">ΔT₁</t>
  </si>
  <si>
    <t xml:space="preserve">ΔT₂ = T_R − T_RL</t>
  </si>
  <si>
    <t xml:space="preserve">ΔT₂</t>
  </si>
  <si>
    <t xml:space="preserve">Wärmetauscherfläche (U=4000)</t>
  </si>
  <si>
    <t xml:space="preserve">▌ MATERIAL &amp; SCALING (TDS-basiert)</t>
  </si>
  <si>
    <t xml:space="preserve">Materialklasse</t>
  </si>
  <si>
    <t xml:space="preserve">DVGW W 101; DIN 4030</t>
  </si>
  <si>
    <t xml:space="preserve">DeltaT – Vollständige Literaturquellenliste</t>
  </si>
  <si>
    <t xml:space="preserve">Alle Normen und Fachpublikationen, auf die sich die Berechnungen stützen</t>
  </si>
  <si>
    <t xml:space="preserve">Kürzel</t>
  </si>
  <si>
    <t xml:space="preserve">Verwendung</t>
  </si>
  <si>
    <t xml:space="preserve">Typ</t>
  </si>
  <si>
    <t xml:space="preserve">VDI-Richtlinie 4640, Blatt 1 – Thermische Nutzung des Untergrundes: Grundlagen, Genehmigungen, Umweltaspekte. VDI, Düsseldorf, 2021.</t>
  </si>
  <si>
    <t xml:space="preserve">Transmissivitätsschwellen; Hydraulik-Ampel</t>
  </si>
  <si>
    <t xml:space="preserve">Norm/Richtlinie</t>
  </si>
  <si>
    <t xml:space="preserve">VDI-Richtlinie 4640, Blatt 2 – Thermische Nutzung des Untergrundes: Erdgekoppelte Wärmepumpenanlagen. VDI, Düsseldorf, 2019.</t>
  </si>
  <si>
    <t xml:space="preserve">Spez. Wärmeleistung [W/m]; Tauchpumpe</t>
  </si>
  <si>
    <t xml:space="preserve">VDI-Richtlinie 4640, Blatt 4 – Thermische Nutzung des Untergrundes: Direkte Nutzung. VDI, Düsseldorf, 2022.</t>
  </si>
  <si>
    <t xml:space="preserve">Direktnutzung (ΔT_hub ≤ 0 K); WP-Typ-Klassifikation</t>
  </si>
  <si>
    <t xml:space="preserve">DIN EN 14511 – Luftkonditionierer, Flüssigkeitskühlsätze und Wärmepumpen für Raumbeheizung und -kühlung. CEN, 2018.</t>
  </si>
  <si>
    <t xml:space="preserve">COP-Definition; Standard-WP-Klassifikation; el. WP-Leistung</t>
  </si>
  <si>
    <t xml:space="preserve">Norm</t>
  </si>
  <si>
    <t xml:space="preserve">Arpagaus, C.; Bless, F.; Schiffmann, J.; Bertsch, S.: High temperature heat pumps: Market overview, state of the art, research status, refrigerants, and application potentials. Energy, 152, S. 985–1010, 2018. doi:10.1016/j.energy.2018.03.166</t>
  </si>
  <si>
    <t xml:space="preserve">COP 50% Carnot-Annahme; HT-WP-Klassifikation (Hub 35–60 K)</t>
  </si>
  <si>
    <t xml:space="preserve">Peer-reviewed Journal</t>
  </si>
  <si>
    <t xml:space="preserve">Zühlsdorf et al. 2019</t>
  </si>
  <si>
    <t xml:space="preserve">Zühlsdorf, B.; Bühler, F.; Bantle, M.; Elmegaard, B.: Analysis of possibilities to utilize high-temperature heat pumps for heat supply in industrial processes. Journal of Renewable and Sustainable Energy, 11(3), 035002, 2019. doi:10.1063/1.5051244</t>
  </si>
  <si>
    <t xml:space="preserve">Ultra-high lift WP / ORC-Prozess (Hub &gt; 60 K)</t>
  </si>
  <si>
    <t xml:space="preserve">Thermische Durchbruchszeit: t_break = π·n·b·d²/(4·Q); opt. Bohrloch-Abstand</t>
  </si>
  <si>
    <t xml:space="preserve">Fachbuch</t>
  </si>
  <si>
    <t xml:space="preserve">Sanner, B.; Karytsas, C.; Mendrinos, D.; Rybach, L.: Current status of ground source heat pumps and underground thermal energy storage in Europe. Geothermics, 32(4–6), S. 579–588, 2003. doi:10.1016/S0375-6505(03)00060-9</t>
  </si>
  <si>
    <t xml:space="preserve">Wärmeleistungsformel; c_p = 4,18 kJ/(kg·K) für Thermalwasser</t>
  </si>
  <si>
    <t xml:space="preserve">VDI (Hrsg.): VDI-Wärmeatlas, 12. Auflage, Springer Vieweg, Berlin/Heidelberg, 2019. ISBN 978-3-662-52989-8.</t>
  </si>
  <si>
    <t xml:space="preserve">LMTD-Formel; U-Wert Plattenwärmetauscher 4 000 W/(m²·K)</t>
  </si>
  <si>
    <t xml:space="preserve">Fachbuch / Norm</t>
  </si>
  <si>
    <t xml:space="preserve">VDI 3803 Blatt 1 – Wärmepumpen: Leistungsangaben und Anforderungen. VDI, Düsseldorf.</t>
  </si>
  <si>
    <t xml:space="preserve">Pumpenleistungsformel (η = 0,60)</t>
  </si>
  <si>
    <t xml:space="preserve">Kühn 2012</t>
  </si>
  <si>
    <t xml:space="preserve">Kühn, M. (Hrsg.): Dynamische Speicherung von CO₂ in geothermischen Reservoiren. Springer, Berlin, 2012.</t>
  </si>
  <si>
    <t xml:space="preserve">Transmissivitätsschwellen T &gt; 10⁻³ m²/s für wirtschaftliche Geothermie</t>
  </si>
  <si>
    <t xml:space="preserve">IEA HP Annex 35</t>
  </si>
  <si>
    <t xml:space="preserve">IEA Heat Pump Programme – Annex 35: Application of industrial heat pumps. Final Report. IEA, 2011.</t>
  </si>
  <si>
    <t xml:space="preserve">COP-Realfaktor 45–55% des Carnot-COP (Mittelwert 50%)</t>
  </si>
  <si>
    <t xml:space="preserve">Bericht</t>
  </si>
  <si>
    <t xml:space="preserve">VDI 2045</t>
  </si>
  <si>
    <t xml:space="preserve">VDI 2045 – Korrosion durch Wasser; Einfluss der Wasserchemie auf metallische Werkstoffe. VDI, Düsseldorf.</t>
  </si>
  <si>
    <t xml:space="preserve">TDS-basierte Werkstoffauswahl: Edelstahl / Duplex / Titan</t>
  </si>
  <si>
    <t xml:space="preserve">DVGW W 101</t>
  </si>
  <si>
    <t xml:space="preserve">DVGW-Arbeitsblatt W 101 – Richtlinien für Trinkwasserschutzzonen, Teil I. DVGW, Bonn, 1995.</t>
  </si>
  <si>
    <t xml:space="preserve">TDS-Schwellwerte für Korrosionsbeständigkeit und Scaling-Klassifikation</t>
  </si>
  <si>
    <t xml:space="preserve">Technische Regel</t>
  </si>
  <si>
    <t xml:space="preserve">DIN 4030</t>
  </si>
  <si>
    <t xml:space="preserve">DIN 4030-1 – Beurteilung betonangreifender Wässer, Böden und Gase. DIN, Berlin, 2008.</t>
  </si>
  <si>
    <t xml:space="preserve">Scaling-Risikoklassen; Ergänzung zu DVGW W 101</t>
  </si>
  <si>
    <t xml:space="preserve">Lienhard, J.H.: A Heat Transfer Textbook, 5th ed., Dover Publications, Mineola NY, 2020. ISBN 978-0-486-83735-3.</t>
  </si>
  <si>
    <t xml:space="preserve">Planerischer Richtwert Durchbruchszeit ≥ 25 Jahre</t>
  </si>
  <si>
    <t xml:space="preserve">Lehrbuch</t>
  </si>
</sst>
</file>

<file path=xl/styles.xml><?xml version="1.0" encoding="utf-8"?>
<styleSheet xmlns="http://schemas.openxmlformats.org/spreadsheetml/2006/main">
  <numFmts count="1">
    <numFmt numFmtId="164" formatCode="General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9"/>
      <color rgb="FF5A739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D2B55"/>
      <name val="Arial"/>
      <family val="0"/>
      <charset val="1"/>
    </font>
    <font>
      <b val="true"/>
      <i val="true"/>
      <sz val="10"/>
      <color rgb="FF1A3F6F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9"/>
      <color rgb="FF00000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D2B55"/>
        <bgColor rgb="FF1A3F6F"/>
      </patternFill>
    </fill>
    <fill>
      <patternFill patternType="solid">
        <fgColor rgb="FF1A3F6F"/>
        <bgColor rgb="FF0D2B55"/>
      </patternFill>
    </fill>
    <fill>
      <patternFill patternType="solid">
        <fgColor rgb="FFFFFFFF"/>
        <bgColor rgb="FFF4F8FD"/>
      </patternFill>
    </fill>
    <fill>
      <patternFill patternType="solid">
        <fgColor rgb="FFF4F8FD"/>
        <bgColor rgb="FFEBF4FA"/>
      </patternFill>
    </fill>
    <fill>
      <patternFill patternType="solid">
        <fgColor rgb="FFDCE6F1"/>
        <bgColor rgb="FFEBF4FA"/>
      </patternFill>
    </fill>
    <fill>
      <patternFill patternType="solid">
        <fgColor rgb="FFFFF3C4"/>
        <bgColor rgb="FFFFFF99"/>
      </patternFill>
    </fill>
    <fill>
      <patternFill patternType="solid">
        <fgColor rgb="FFEBF4FA"/>
        <bgColor rgb="FFF4F8F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6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4"/>
      <rgbColor rgb="FFEBF4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F4F8F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7398"/>
      <rgbColor rgb="FF969696"/>
      <rgbColor rgb="FF0D2B55"/>
      <rgbColor rgb="FF339966"/>
      <rgbColor rgb="FF003300"/>
      <rgbColor rgb="FF333300"/>
      <rgbColor rgb="FF993300"/>
      <rgbColor rgb="FF993366"/>
      <rgbColor rgb="FF1A3F6F"/>
      <rgbColor rgb="FF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1.xml"/><Relationship Id="rId7" Type="http://schemas.openxmlformats.org/officeDocument/2006/relationships/sharedStrings" Target="sharedStrings.xml"/><Relationship Id="rId2" Type="http://schemas.openxmlformats.org/officeDocument/2006/relationships/styles" Target="styles.xml"/><Relationship Id="rId1" Type="http://schemas.openxmlformats.org/officeDocument/2006/relationships/theme" Target="theme/theme1.xml"/><Relationship Id="rId6" Type="http://schemas.openxmlformats.org/officeDocument/2006/relationships/worksheet" Target="worksheets/sheet4.xml"/><Relationship Id="rId5" Type="http://schemas.openxmlformats.org/officeDocument/2006/relationships/worksheet" Target="worksheets/sheet3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2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22"/>
    <col collapsed="false" customWidth="true" hidden="false" outlineLevel="0" max="7" min="7" style="0" width="62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</row>
    <row r="3" customFormat="false" ht="6" hidden="false" customHeight="true" outlineLevel="0" collapsed="false"/>
    <row r="4" customFormat="false" ht="21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37.5" hidden="false" customHeight="true" outlineLevel="0" collapsed="false">
      <c r="A5" s="4" t="n">
        <v>1</v>
      </c>
      <c r="B5" s="5" t="s">
        <v>9</v>
      </c>
      <c r="C5" s="6" t="s">
        <v>10</v>
      </c>
      <c r="D5" s="7" t="n">
        <v>500</v>
      </c>
      <c r="E5" s="4" t="s">
        <v>11</v>
      </c>
      <c r="F5" s="4" t="s">
        <v>12</v>
      </c>
      <c r="G5" s="8" t="s">
        <v>13</v>
      </c>
    </row>
    <row r="6" customFormat="false" ht="37.5" hidden="false" customHeight="true" outlineLevel="0" collapsed="false">
      <c r="A6" s="9" t="n">
        <v>2</v>
      </c>
      <c r="B6" s="10" t="s">
        <v>14</v>
      </c>
      <c r="C6" s="11" t="s">
        <v>15</v>
      </c>
      <c r="D6" s="12" t="n">
        <v>40</v>
      </c>
      <c r="E6" s="9" t="s">
        <v>11</v>
      </c>
      <c r="F6" s="9" t="s">
        <v>16</v>
      </c>
      <c r="G6" s="13" t="s">
        <v>17</v>
      </c>
    </row>
    <row r="7" customFormat="false" ht="37.5" hidden="false" customHeight="true" outlineLevel="0" collapsed="false">
      <c r="A7" s="4" t="n">
        <v>3</v>
      </c>
      <c r="B7" s="5" t="s">
        <v>18</v>
      </c>
      <c r="C7" s="6" t="s">
        <v>19</v>
      </c>
      <c r="D7" s="7" t="n">
        <v>0.0001</v>
      </c>
      <c r="E7" s="4" t="s">
        <v>20</v>
      </c>
      <c r="F7" s="4" t="s">
        <v>21</v>
      </c>
      <c r="G7" s="8" t="s">
        <v>22</v>
      </c>
    </row>
    <row r="8" customFormat="false" ht="37.5" hidden="false" customHeight="true" outlineLevel="0" collapsed="false">
      <c r="A8" s="9" t="n">
        <v>4</v>
      </c>
      <c r="B8" s="10" t="s">
        <v>23</v>
      </c>
      <c r="C8" s="11" t="s">
        <v>24</v>
      </c>
      <c r="D8" s="12" t="n">
        <v>16</v>
      </c>
      <c r="E8" s="9" t="s">
        <v>25</v>
      </c>
      <c r="F8" s="9" t="s">
        <v>26</v>
      </c>
      <c r="G8" s="13" t="s">
        <v>27</v>
      </c>
    </row>
    <row r="9" customFormat="false" ht="37.5" hidden="false" customHeight="true" outlineLevel="0" collapsed="false">
      <c r="A9" s="4" t="n">
        <v>5</v>
      </c>
      <c r="B9" s="5" t="s">
        <v>28</v>
      </c>
      <c r="C9" s="6" t="s">
        <v>29</v>
      </c>
      <c r="D9" s="7" t="n">
        <v>500</v>
      </c>
      <c r="E9" s="4" t="s">
        <v>30</v>
      </c>
      <c r="F9" s="4" t="s">
        <v>31</v>
      </c>
      <c r="G9" s="8" t="s">
        <v>32</v>
      </c>
    </row>
    <row r="10" customFormat="false" ht="37.5" hidden="false" customHeight="true" outlineLevel="0" collapsed="false">
      <c r="A10" s="9" t="n">
        <v>6</v>
      </c>
      <c r="B10" s="10" t="s">
        <v>33</v>
      </c>
      <c r="C10" s="11" t="s">
        <v>34</v>
      </c>
      <c r="D10" s="12" t="n">
        <v>15</v>
      </c>
      <c r="E10" s="9" t="s">
        <v>35</v>
      </c>
      <c r="F10" s="9" t="s">
        <v>36</v>
      </c>
      <c r="G10" s="13" t="s">
        <v>37</v>
      </c>
    </row>
    <row r="11" customFormat="false" ht="37.5" hidden="false" customHeight="true" outlineLevel="0" collapsed="false">
      <c r="A11" s="4" t="n">
        <v>7</v>
      </c>
      <c r="B11" s="5" t="s">
        <v>38</v>
      </c>
      <c r="C11" s="6" t="s">
        <v>39</v>
      </c>
      <c r="D11" s="7" t="n">
        <v>12</v>
      </c>
      <c r="E11" s="4" t="s">
        <v>25</v>
      </c>
      <c r="F11" s="4" t="s">
        <v>40</v>
      </c>
      <c r="G11" s="8" t="s">
        <v>41</v>
      </c>
    </row>
    <row r="12" customFormat="false" ht="37.5" hidden="false" customHeight="true" outlineLevel="0" collapsed="false">
      <c r="A12" s="9" t="n">
        <v>8</v>
      </c>
      <c r="B12" s="10" t="s">
        <v>42</v>
      </c>
      <c r="C12" s="11" t="s">
        <v>43</v>
      </c>
      <c r="D12" s="12" t="n">
        <v>100</v>
      </c>
      <c r="E12" s="9" t="s">
        <v>11</v>
      </c>
      <c r="F12" s="9" t="s">
        <v>44</v>
      </c>
      <c r="G12" s="13" t="s">
        <v>45</v>
      </c>
    </row>
    <row r="13" customFormat="false" ht="37.5" hidden="false" customHeight="true" outlineLevel="0" collapsed="false">
      <c r="A13" s="4" t="n">
        <v>9</v>
      </c>
      <c r="B13" s="5" t="s">
        <v>46</v>
      </c>
      <c r="C13" s="6" t="s">
        <v>47</v>
      </c>
      <c r="D13" s="7" t="n">
        <v>5000</v>
      </c>
      <c r="E13" s="4" t="s">
        <v>48</v>
      </c>
      <c r="F13" s="4" t="s">
        <v>49</v>
      </c>
      <c r="G13" s="8" t="s">
        <v>50</v>
      </c>
    </row>
    <row r="14" customFormat="false" ht="37.5" hidden="false" customHeight="true" outlineLevel="0" collapsed="false">
      <c r="A14" s="9" t="n">
        <v>10</v>
      </c>
      <c r="B14" s="10" t="s">
        <v>51</v>
      </c>
      <c r="C14" s="11" t="s">
        <v>52</v>
      </c>
      <c r="D14" s="12" t="n">
        <v>90</v>
      </c>
      <c r="E14" s="9" t="s">
        <v>25</v>
      </c>
      <c r="F14" s="9" t="s">
        <v>53</v>
      </c>
      <c r="G14" s="13" t="s">
        <v>54</v>
      </c>
    </row>
    <row r="15" customFormat="false" ht="37.5" hidden="false" customHeight="true" outlineLevel="0" collapsed="false">
      <c r="A15" s="4" t="n">
        <v>11</v>
      </c>
      <c r="B15" s="5" t="s">
        <v>55</v>
      </c>
      <c r="C15" s="6" t="s">
        <v>56</v>
      </c>
      <c r="D15" s="7" t="n">
        <v>55</v>
      </c>
      <c r="E15" s="4" t="s">
        <v>25</v>
      </c>
      <c r="F15" s="4" t="s">
        <v>57</v>
      </c>
      <c r="G15" s="8" t="s">
        <v>58</v>
      </c>
    </row>
    <row r="16" customFormat="false" ht="37.5" hidden="false" customHeight="true" outlineLevel="0" collapsed="false">
      <c r="A16" s="9" t="n">
        <v>12</v>
      </c>
      <c r="B16" s="10" t="s">
        <v>59</v>
      </c>
      <c r="C16" s="11" t="s">
        <v>60</v>
      </c>
      <c r="D16" s="12" t="n">
        <v>2000</v>
      </c>
      <c r="E16" s="9" t="s">
        <v>61</v>
      </c>
      <c r="F16" s="9" t="s">
        <v>62</v>
      </c>
      <c r="G16" s="13" t="s">
        <v>63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3" min="3" style="0" width="10"/>
    <col collapsed="false" customWidth="true" hidden="false" outlineLevel="0" max="4" min="4" style="0" width="40"/>
    <col collapsed="false" customWidth="true" hidden="false" outlineLevel="0" max="5" min="5" style="0" width="10"/>
    <col collapsed="false" customWidth="true" hidden="false" outlineLevel="0" max="6" min="6" style="0" width="26"/>
    <col collapsed="false" customWidth="true" hidden="false" outlineLevel="0" max="7" min="7" style="0" width="36"/>
    <col collapsed="false" customWidth="true" hidden="false" outlineLevel="0" max="8" min="8" style="0" width="22"/>
    <col collapsed="false" customWidth="true" hidden="false" outlineLevel="0" max="9" min="9" style="0" width="54"/>
  </cols>
  <sheetData>
    <row r="1" customFormat="false" ht="30" hidden="false" customHeight="true" outlineLevel="0" collapsed="false">
      <c r="A1" s="1" t="s">
        <v>64</v>
      </c>
      <c r="B1" s="1"/>
      <c r="C1" s="1"/>
      <c r="D1" s="1"/>
      <c r="E1" s="1"/>
      <c r="F1" s="1"/>
      <c r="G1" s="1"/>
      <c r="H1" s="1"/>
      <c r="I1" s="1"/>
    </row>
    <row r="2" customFormat="false" ht="15.75" hidden="false" customHeight="true" outlineLevel="0" collapsed="false">
      <c r="A2" s="2" t="s">
        <v>65</v>
      </c>
      <c r="B2" s="2"/>
      <c r="C2" s="2"/>
      <c r="D2" s="2"/>
      <c r="E2" s="2"/>
      <c r="F2" s="2"/>
      <c r="G2" s="2"/>
      <c r="H2" s="2"/>
      <c r="I2" s="2"/>
    </row>
    <row r="3" customFormat="false" ht="6" hidden="false" customHeight="true" outlineLevel="0" collapsed="false"/>
    <row r="4" customFormat="false" ht="21.75" hidden="false" customHeight="true" outlineLevel="0" collapsed="false">
      <c r="A4" s="3" t="s">
        <v>2</v>
      </c>
      <c r="B4" s="3" t="s">
        <v>66</v>
      </c>
      <c r="C4" s="3" t="s">
        <v>4</v>
      </c>
      <c r="D4" s="3" t="s">
        <v>67</v>
      </c>
      <c r="E4" s="3" t="s">
        <v>6</v>
      </c>
      <c r="F4" s="3" t="s">
        <v>68</v>
      </c>
      <c r="G4" s="3" t="s">
        <v>69</v>
      </c>
      <c r="H4" s="3" t="s">
        <v>70</v>
      </c>
      <c r="I4" s="3" t="s">
        <v>71</v>
      </c>
    </row>
    <row r="5" customFormat="false" ht="18" hidden="false" customHeight="true" outlineLevel="0" collapsed="false">
      <c r="A5" s="14" t="s">
        <v>72</v>
      </c>
      <c r="B5" s="14"/>
      <c r="C5" s="14"/>
      <c r="D5" s="14"/>
      <c r="E5" s="14"/>
      <c r="F5" s="14"/>
      <c r="G5" s="14"/>
      <c r="H5" s="14"/>
      <c r="I5" s="14"/>
    </row>
    <row r="6" customFormat="false" ht="51.75" hidden="false" customHeight="true" outlineLevel="0" collapsed="false">
      <c r="A6" s="9" t="n">
        <v>1</v>
      </c>
      <c r="B6" s="15" t="s">
        <v>73</v>
      </c>
      <c r="C6" s="16" t="s">
        <v>74</v>
      </c>
      <c r="D6" s="17" t="s">
        <v>75</v>
      </c>
      <c r="E6" s="9" t="s">
        <v>76</v>
      </c>
      <c r="F6" s="13" t="s">
        <v>77</v>
      </c>
      <c r="G6" s="18" t="s">
        <v>78</v>
      </c>
      <c r="H6" s="19" t="s">
        <v>79</v>
      </c>
      <c r="I6" s="20" t="s">
        <v>80</v>
      </c>
    </row>
    <row r="7" customFormat="false" ht="51.75" hidden="false" customHeight="true" outlineLevel="0" collapsed="false">
      <c r="A7" s="4" t="n">
        <v>2</v>
      </c>
      <c r="B7" s="21" t="s">
        <v>81</v>
      </c>
      <c r="C7" s="22" t="s">
        <v>82</v>
      </c>
      <c r="D7" s="17" t="s">
        <v>83</v>
      </c>
      <c r="E7" s="4" t="s">
        <v>78</v>
      </c>
      <c r="F7" s="8" t="s">
        <v>74</v>
      </c>
      <c r="G7" s="23" t="s">
        <v>84</v>
      </c>
      <c r="H7" s="24" t="s">
        <v>85</v>
      </c>
      <c r="I7" s="25" t="s">
        <v>86</v>
      </c>
    </row>
    <row r="8" customFormat="false" ht="18" hidden="false" customHeight="true" outlineLevel="0" collapsed="false">
      <c r="A8" s="14" t="s">
        <v>87</v>
      </c>
      <c r="B8" s="14"/>
      <c r="C8" s="14"/>
      <c r="D8" s="14"/>
      <c r="E8" s="14"/>
      <c r="F8" s="14"/>
      <c r="G8" s="14"/>
      <c r="H8" s="14"/>
      <c r="I8" s="14"/>
    </row>
    <row r="9" customFormat="false" ht="51.75" hidden="false" customHeight="true" outlineLevel="0" collapsed="false">
      <c r="A9" s="9" t="n">
        <v>3</v>
      </c>
      <c r="B9" s="15" t="s">
        <v>88</v>
      </c>
      <c r="C9" s="16" t="s">
        <v>89</v>
      </c>
      <c r="D9" s="17" t="s">
        <v>90</v>
      </c>
      <c r="E9" s="9" t="s">
        <v>91</v>
      </c>
      <c r="F9" s="13" t="s">
        <v>92</v>
      </c>
      <c r="G9" s="18" t="s">
        <v>78</v>
      </c>
      <c r="H9" s="19" t="s">
        <v>93</v>
      </c>
      <c r="I9" s="20" t="s">
        <v>94</v>
      </c>
    </row>
    <row r="10" customFormat="false" ht="51.75" hidden="false" customHeight="true" outlineLevel="0" collapsed="false">
      <c r="A10" s="4" t="n">
        <v>4</v>
      </c>
      <c r="B10" s="21" t="s">
        <v>95</v>
      </c>
      <c r="C10" s="22" t="s">
        <v>96</v>
      </c>
      <c r="D10" s="17" t="s">
        <v>97</v>
      </c>
      <c r="E10" s="4" t="s">
        <v>48</v>
      </c>
      <c r="F10" s="8" t="s">
        <v>98</v>
      </c>
      <c r="G10" s="23" t="s">
        <v>99</v>
      </c>
      <c r="H10" s="24" t="s">
        <v>100</v>
      </c>
      <c r="I10" s="25" t="s">
        <v>101</v>
      </c>
    </row>
    <row r="11" customFormat="false" ht="51.75" hidden="false" customHeight="true" outlineLevel="0" collapsed="false">
      <c r="A11" s="9" t="n">
        <v>5</v>
      </c>
      <c r="B11" s="15" t="s">
        <v>102</v>
      </c>
      <c r="C11" s="16" t="s">
        <v>103</v>
      </c>
      <c r="D11" s="17" t="s">
        <v>104</v>
      </c>
      <c r="E11" s="9" t="s">
        <v>78</v>
      </c>
      <c r="F11" s="13" t="s">
        <v>105</v>
      </c>
      <c r="G11" s="18" t="s">
        <v>106</v>
      </c>
      <c r="H11" s="19" t="s">
        <v>78</v>
      </c>
      <c r="I11" s="20" t="s">
        <v>107</v>
      </c>
    </row>
    <row r="12" customFormat="false" ht="51.75" hidden="false" customHeight="true" outlineLevel="0" collapsed="false">
      <c r="A12" s="4" t="n">
        <v>6</v>
      </c>
      <c r="B12" s="21" t="s">
        <v>108</v>
      </c>
      <c r="C12" s="22" t="s">
        <v>109</v>
      </c>
      <c r="D12" s="17" t="s">
        <v>110</v>
      </c>
      <c r="E12" s="4" t="s">
        <v>48</v>
      </c>
      <c r="F12" s="8" t="s">
        <v>111</v>
      </c>
      <c r="G12" s="23" t="s">
        <v>78</v>
      </c>
      <c r="H12" s="24" t="s">
        <v>78</v>
      </c>
      <c r="I12" s="25" t="s">
        <v>78</v>
      </c>
    </row>
    <row r="13" customFormat="false" ht="51.75" hidden="false" customHeight="true" outlineLevel="0" collapsed="false">
      <c r="A13" s="9" t="n">
        <v>7</v>
      </c>
      <c r="B13" s="15" t="s">
        <v>112</v>
      </c>
      <c r="C13" s="16" t="s">
        <v>113</v>
      </c>
      <c r="D13" s="17" t="s">
        <v>114</v>
      </c>
      <c r="E13" s="9" t="s">
        <v>35</v>
      </c>
      <c r="F13" s="13" t="s">
        <v>115</v>
      </c>
      <c r="G13" s="18" t="s">
        <v>78</v>
      </c>
      <c r="H13" s="19" t="s">
        <v>78</v>
      </c>
      <c r="I13" s="20" t="s">
        <v>78</v>
      </c>
    </row>
    <row r="14" customFormat="false" ht="51.75" hidden="false" customHeight="true" outlineLevel="0" collapsed="false">
      <c r="A14" s="4" t="n">
        <v>8</v>
      </c>
      <c r="B14" s="21" t="s">
        <v>116</v>
      </c>
      <c r="C14" s="22" t="s">
        <v>117</v>
      </c>
      <c r="D14" s="17" t="s">
        <v>118</v>
      </c>
      <c r="E14" s="4" t="s">
        <v>119</v>
      </c>
      <c r="F14" s="8" t="s">
        <v>120</v>
      </c>
      <c r="G14" s="23" t="s">
        <v>78</v>
      </c>
      <c r="H14" s="24" t="s">
        <v>78</v>
      </c>
      <c r="I14" s="25" t="s">
        <v>121</v>
      </c>
    </row>
    <row r="15" customFormat="false" ht="18" hidden="false" customHeight="true" outlineLevel="0" collapsed="false">
      <c r="A15" s="14" t="s">
        <v>122</v>
      </c>
      <c r="B15" s="14"/>
      <c r="C15" s="14"/>
      <c r="D15" s="14"/>
      <c r="E15" s="14"/>
      <c r="F15" s="14"/>
      <c r="G15" s="14"/>
      <c r="H15" s="14"/>
      <c r="I15" s="14"/>
    </row>
    <row r="16" customFormat="false" ht="51.75" hidden="false" customHeight="true" outlineLevel="0" collapsed="false">
      <c r="A16" s="9" t="n">
        <v>9</v>
      </c>
      <c r="B16" s="15" t="s">
        <v>123</v>
      </c>
      <c r="C16" s="16" t="s">
        <v>124</v>
      </c>
      <c r="D16" s="17" t="s">
        <v>125</v>
      </c>
      <c r="E16" s="9" t="s">
        <v>48</v>
      </c>
      <c r="F16" s="13" t="s">
        <v>126</v>
      </c>
      <c r="G16" s="18" t="s">
        <v>127</v>
      </c>
      <c r="H16" s="19" t="s">
        <v>128</v>
      </c>
      <c r="I16" s="20" t="s">
        <v>129</v>
      </c>
    </row>
    <row r="17" customFormat="false" ht="51.75" hidden="false" customHeight="true" outlineLevel="0" collapsed="false">
      <c r="A17" s="4" t="n">
        <v>10</v>
      </c>
      <c r="B17" s="21" t="s">
        <v>130</v>
      </c>
      <c r="C17" s="22" t="s">
        <v>131</v>
      </c>
      <c r="D17" s="17" t="s">
        <v>132</v>
      </c>
      <c r="E17" s="4" t="s">
        <v>133</v>
      </c>
      <c r="F17" s="8" t="s">
        <v>134</v>
      </c>
      <c r="G17" s="23" t="s">
        <v>78</v>
      </c>
      <c r="H17" s="24" t="s">
        <v>135</v>
      </c>
      <c r="I17" s="25" t="s">
        <v>136</v>
      </c>
    </row>
    <row r="18" customFormat="false" ht="51.75" hidden="false" customHeight="true" outlineLevel="0" collapsed="false">
      <c r="A18" s="9" t="n">
        <v>11</v>
      </c>
      <c r="B18" s="15" t="s">
        <v>137</v>
      </c>
      <c r="C18" s="16" t="s">
        <v>138</v>
      </c>
      <c r="D18" s="17" t="s">
        <v>139</v>
      </c>
      <c r="E18" s="9" t="s">
        <v>140</v>
      </c>
      <c r="F18" s="13" t="s">
        <v>141</v>
      </c>
      <c r="G18" s="18" t="s">
        <v>142</v>
      </c>
      <c r="H18" s="19" t="s">
        <v>143</v>
      </c>
      <c r="I18" s="20" t="s">
        <v>144</v>
      </c>
    </row>
    <row r="19" customFormat="false" ht="51.75" hidden="false" customHeight="true" outlineLevel="0" collapsed="false">
      <c r="A19" s="4" t="n">
        <v>12</v>
      </c>
      <c r="B19" s="21" t="s">
        <v>145</v>
      </c>
      <c r="C19" s="22" t="s">
        <v>146</v>
      </c>
      <c r="D19" s="17" t="s">
        <v>147</v>
      </c>
      <c r="E19" s="4" t="s">
        <v>11</v>
      </c>
      <c r="F19" s="8" t="s">
        <v>148</v>
      </c>
      <c r="G19" s="23" t="s">
        <v>149</v>
      </c>
      <c r="H19" s="24" t="s">
        <v>143</v>
      </c>
      <c r="I19" s="25" t="s">
        <v>144</v>
      </c>
    </row>
    <row r="20" customFormat="false" ht="51.75" hidden="false" customHeight="true" outlineLevel="0" collapsed="false">
      <c r="A20" s="9" t="n">
        <v>13</v>
      </c>
      <c r="B20" s="15" t="s">
        <v>150</v>
      </c>
      <c r="C20" s="16" t="s">
        <v>151</v>
      </c>
      <c r="D20" s="17" t="s">
        <v>152</v>
      </c>
      <c r="E20" s="9" t="s">
        <v>78</v>
      </c>
      <c r="F20" s="13" t="s">
        <v>138</v>
      </c>
      <c r="G20" s="18" t="s">
        <v>153</v>
      </c>
      <c r="H20" s="19" t="s">
        <v>154</v>
      </c>
      <c r="I20" s="20" t="s">
        <v>155</v>
      </c>
    </row>
    <row r="21" customFormat="false" ht="18" hidden="false" customHeight="true" outlineLevel="0" collapsed="false">
      <c r="A21" s="14" t="s">
        <v>156</v>
      </c>
      <c r="B21" s="14"/>
      <c r="C21" s="14"/>
      <c r="D21" s="14"/>
      <c r="E21" s="14"/>
      <c r="F21" s="14"/>
      <c r="G21" s="14"/>
      <c r="H21" s="14"/>
      <c r="I21" s="14"/>
    </row>
    <row r="22" customFormat="false" ht="51.75" hidden="false" customHeight="true" outlineLevel="0" collapsed="false">
      <c r="A22" s="4" t="n">
        <v>14</v>
      </c>
      <c r="B22" s="21" t="s">
        <v>157</v>
      </c>
      <c r="C22" s="22" t="s">
        <v>158</v>
      </c>
      <c r="D22" s="17" t="s">
        <v>159</v>
      </c>
      <c r="E22" s="4" t="s">
        <v>78</v>
      </c>
      <c r="F22" s="8" t="s">
        <v>160</v>
      </c>
      <c r="G22" s="23" t="s">
        <v>161</v>
      </c>
      <c r="H22" s="24" t="s">
        <v>162</v>
      </c>
      <c r="I22" s="25" t="s">
        <v>163</v>
      </c>
    </row>
    <row r="23" customFormat="false" ht="51.75" hidden="false" customHeight="true" outlineLevel="0" collapsed="false">
      <c r="A23" s="9" t="n">
        <v>15</v>
      </c>
      <c r="B23" s="15" t="s">
        <v>164</v>
      </c>
      <c r="C23" s="16" t="s">
        <v>165</v>
      </c>
      <c r="D23" s="17" t="s">
        <v>166</v>
      </c>
      <c r="E23" s="9" t="s">
        <v>48</v>
      </c>
      <c r="F23" s="13" t="s">
        <v>167</v>
      </c>
      <c r="G23" s="18" t="s">
        <v>78</v>
      </c>
      <c r="H23" s="19" t="s">
        <v>168</v>
      </c>
      <c r="I23" s="20" t="s">
        <v>169</v>
      </c>
    </row>
    <row r="24" customFormat="false" ht="51.75" hidden="false" customHeight="true" outlineLevel="0" collapsed="false">
      <c r="A24" s="4" t="n">
        <v>16</v>
      </c>
      <c r="B24" s="21" t="s">
        <v>170</v>
      </c>
      <c r="C24" s="22" t="s">
        <v>171</v>
      </c>
      <c r="D24" s="17" t="s">
        <v>172</v>
      </c>
      <c r="E24" s="4" t="s">
        <v>78</v>
      </c>
      <c r="F24" s="8" t="s">
        <v>158</v>
      </c>
      <c r="G24" s="23" t="s">
        <v>173</v>
      </c>
      <c r="H24" s="24" t="s">
        <v>174</v>
      </c>
      <c r="I24" s="25" t="s">
        <v>175</v>
      </c>
    </row>
    <row r="25" customFormat="false" ht="51.75" hidden="false" customHeight="true" outlineLevel="0" collapsed="false">
      <c r="A25" s="9" t="n">
        <v>17</v>
      </c>
      <c r="B25" s="15" t="s">
        <v>176</v>
      </c>
      <c r="C25" s="16" t="s">
        <v>177</v>
      </c>
      <c r="D25" s="17" t="s">
        <v>178</v>
      </c>
      <c r="E25" s="9" t="s">
        <v>78</v>
      </c>
      <c r="F25" s="13" t="s">
        <v>179</v>
      </c>
      <c r="G25" s="18" t="s">
        <v>78</v>
      </c>
      <c r="H25" s="19" t="s">
        <v>180</v>
      </c>
      <c r="I25" s="20" t="s">
        <v>181</v>
      </c>
    </row>
    <row r="26" customFormat="false" ht="18" hidden="false" customHeight="true" outlineLevel="0" collapsed="false">
      <c r="A26" s="14" t="s">
        <v>182</v>
      </c>
      <c r="B26" s="14"/>
      <c r="C26" s="14"/>
      <c r="D26" s="14"/>
      <c r="E26" s="14"/>
      <c r="F26" s="14"/>
      <c r="G26" s="14"/>
      <c r="H26" s="14"/>
      <c r="I26" s="14"/>
    </row>
    <row r="27" customFormat="false" ht="51.75" hidden="false" customHeight="true" outlineLevel="0" collapsed="false">
      <c r="A27" s="4" t="n">
        <v>18</v>
      </c>
      <c r="B27" s="21" t="s">
        <v>183</v>
      </c>
      <c r="C27" s="22" t="s">
        <v>184</v>
      </c>
      <c r="D27" s="17" t="s">
        <v>185</v>
      </c>
      <c r="E27" s="4" t="s">
        <v>91</v>
      </c>
      <c r="F27" s="8" t="s">
        <v>186</v>
      </c>
      <c r="G27" s="23" t="s">
        <v>187</v>
      </c>
      <c r="H27" s="24" t="s">
        <v>188</v>
      </c>
      <c r="I27" s="25" t="s">
        <v>189</v>
      </c>
    </row>
    <row r="28" customFormat="false" ht="51.75" hidden="false" customHeight="true" outlineLevel="0" collapsed="false">
      <c r="A28" s="9" t="n">
        <v>19</v>
      </c>
      <c r="B28" s="15" t="s">
        <v>190</v>
      </c>
      <c r="C28" s="16" t="s">
        <v>191</v>
      </c>
      <c r="D28" s="17" t="s">
        <v>192</v>
      </c>
      <c r="E28" s="9" t="s">
        <v>193</v>
      </c>
      <c r="F28" s="13" t="s">
        <v>194</v>
      </c>
      <c r="G28" s="18" t="s">
        <v>195</v>
      </c>
      <c r="H28" s="19" t="s">
        <v>188</v>
      </c>
      <c r="I28" s="20" t="s">
        <v>196</v>
      </c>
    </row>
    <row r="29" customFormat="false" ht="18" hidden="false" customHeight="true" outlineLevel="0" collapsed="false">
      <c r="A29" s="14" t="s">
        <v>197</v>
      </c>
      <c r="B29" s="14"/>
      <c r="C29" s="14"/>
      <c r="D29" s="14"/>
      <c r="E29" s="14"/>
      <c r="F29" s="14"/>
      <c r="G29" s="14"/>
      <c r="H29" s="14"/>
      <c r="I29" s="14"/>
    </row>
    <row r="30" customFormat="false" ht="51.75" hidden="false" customHeight="true" outlineLevel="0" collapsed="false">
      <c r="A30" s="4" t="n">
        <v>20</v>
      </c>
      <c r="B30" s="21" t="s">
        <v>198</v>
      </c>
      <c r="C30" s="22" t="s">
        <v>199</v>
      </c>
      <c r="D30" s="17" t="s">
        <v>200</v>
      </c>
      <c r="E30" s="4" t="s">
        <v>78</v>
      </c>
      <c r="F30" s="8" t="s">
        <v>201</v>
      </c>
      <c r="G30" s="23" t="s">
        <v>202</v>
      </c>
      <c r="H30" s="24" t="s">
        <v>203</v>
      </c>
      <c r="I30" s="25" t="s">
        <v>204</v>
      </c>
    </row>
    <row r="31" customFormat="false" ht="51.75" hidden="false" customHeight="true" outlineLevel="0" collapsed="false">
      <c r="A31" s="9" t="n">
        <v>21</v>
      </c>
      <c r="B31" s="15" t="s">
        <v>205</v>
      </c>
      <c r="C31" s="16" t="s">
        <v>206</v>
      </c>
      <c r="D31" s="17" t="s">
        <v>207</v>
      </c>
      <c r="E31" s="9" t="s">
        <v>78</v>
      </c>
      <c r="F31" s="13" t="s">
        <v>201</v>
      </c>
      <c r="G31" s="18" t="s">
        <v>208</v>
      </c>
      <c r="H31" s="19" t="s">
        <v>209</v>
      </c>
      <c r="I31" s="20" t="s">
        <v>210</v>
      </c>
    </row>
  </sheetData>
  <mergeCells count="8">
    <mergeCell ref="A1:I1"/>
    <mergeCell ref="A2:I2"/>
    <mergeCell ref="A5:I5"/>
    <mergeCell ref="A8:I8"/>
    <mergeCell ref="A15:I15"/>
    <mergeCell ref="A21:I21"/>
    <mergeCell ref="A26:I26"/>
    <mergeCell ref="A29:I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2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false" outlineLevel="0" max="5" min="5" style="0" width="38"/>
  </cols>
  <sheetData>
    <row r="1" customFormat="false" ht="30" hidden="false" customHeight="true" outlineLevel="0" collapsed="false">
      <c r="A1" s="1" t="s">
        <v>211</v>
      </c>
      <c r="B1" s="1"/>
      <c r="C1" s="1"/>
      <c r="D1" s="1"/>
      <c r="E1" s="1"/>
    </row>
    <row r="2" customFormat="false" ht="15.75" hidden="false" customHeight="true" outlineLevel="0" collapsed="false">
      <c r="A2" s="2" t="s">
        <v>212</v>
      </c>
      <c r="B2" s="2"/>
      <c r="C2" s="2"/>
      <c r="D2" s="2"/>
      <c r="E2" s="2"/>
    </row>
    <row r="3" customFormat="false" ht="6" hidden="false" customHeight="true" outlineLevel="0" collapsed="false"/>
    <row r="4" customFormat="false" ht="21.75" hidden="false" customHeight="true" outlineLevel="0" collapsed="false">
      <c r="A4" s="3" t="s">
        <v>213</v>
      </c>
      <c r="B4" s="3" t="s">
        <v>4</v>
      </c>
      <c r="C4" s="3" t="s">
        <v>214</v>
      </c>
      <c r="D4" s="3" t="s">
        <v>6</v>
      </c>
      <c r="E4" s="3" t="s">
        <v>215</v>
      </c>
    </row>
    <row r="5" customFormat="false" ht="19.5" hidden="false" customHeight="true" outlineLevel="0" collapsed="false">
      <c r="A5" s="26" t="s">
        <v>216</v>
      </c>
      <c r="B5" s="26"/>
      <c r="C5" s="26"/>
      <c r="D5" s="26"/>
      <c r="E5" s="26"/>
    </row>
    <row r="6" customFormat="false" ht="19.5" hidden="false" customHeight="true" outlineLevel="0" collapsed="false">
      <c r="A6" s="5" t="s">
        <v>9</v>
      </c>
      <c r="B6" s="6" t="s">
        <v>10</v>
      </c>
      <c r="C6" s="27" t="n">
        <v>500</v>
      </c>
      <c r="D6" s="28" t="s">
        <v>11</v>
      </c>
      <c r="E6" s="29" t="s">
        <v>78</v>
      </c>
    </row>
    <row r="7" customFormat="false" ht="19.5" hidden="false" customHeight="true" outlineLevel="0" collapsed="false">
      <c r="A7" s="5" t="s">
        <v>14</v>
      </c>
      <c r="B7" s="6" t="s">
        <v>15</v>
      </c>
      <c r="C7" s="27" t="n">
        <v>40</v>
      </c>
      <c r="D7" s="28" t="s">
        <v>11</v>
      </c>
      <c r="E7" s="29" t="s">
        <v>78</v>
      </c>
    </row>
    <row r="8" customFormat="false" ht="19.5" hidden="false" customHeight="true" outlineLevel="0" collapsed="false">
      <c r="A8" s="5" t="s">
        <v>18</v>
      </c>
      <c r="B8" s="6" t="s">
        <v>19</v>
      </c>
      <c r="C8" s="27" t="n">
        <v>0.0001</v>
      </c>
      <c r="D8" s="28" t="s">
        <v>20</v>
      </c>
      <c r="E8" s="29" t="s">
        <v>78</v>
      </c>
    </row>
    <row r="9" customFormat="false" ht="19.5" hidden="false" customHeight="true" outlineLevel="0" collapsed="false">
      <c r="A9" s="5" t="s">
        <v>23</v>
      </c>
      <c r="B9" s="6" t="s">
        <v>24</v>
      </c>
      <c r="C9" s="27" t="n">
        <v>16</v>
      </c>
      <c r="D9" s="28" t="s">
        <v>25</v>
      </c>
      <c r="E9" s="29" t="s">
        <v>78</v>
      </c>
    </row>
    <row r="10" customFormat="false" ht="19.5" hidden="false" customHeight="true" outlineLevel="0" collapsed="false">
      <c r="A10" s="5" t="s">
        <v>28</v>
      </c>
      <c r="B10" s="6" t="s">
        <v>29</v>
      </c>
      <c r="C10" s="27" t="n">
        <v>500</v>
      </c>
      <c r="D10" s="28" t="s">
        <v>30</v>
      </c>
      <c r="E10" s="29" t="s">
        <v>78</v>
      </c>
    </row>
    <row r="11" customFormat="false" ht="19.5" hidden="false" customHeight="true" outlineLevel="0" collapsed="false">
      <c r="A11" s="5" t="s">
        <v>33</v>
      </c>
      <c r="B11" s="6" t="s">
        <v>34</v>
      </c>
      <c r="C11" s="27" t="n">
        <v>15</v>
      </c>
      <c r="D11" s="28" t="s">
        <v>35</v>
      </c>
      <c r="E11" s="29" t="s">
        <v>78</v>
      </c>
    </row>
    <row r="12" customFormat="false" ht="19.5" hidden="false" customHeight="true" outlineLevel="0" collapsed="false">
      <c r="A12" s="5" t="s">
        <v>38</v>
      </c>
      <c r="B12" s="6" t="s">
        <v>39</v>
      </c>
      <c r="C12" s="27" t="n">
        <v>12</v>
      </c>
      <c r="D12" s="28" t="s">
        <v>25</v>
      </c>
      <c r="E12" s="29" t="s">
        <v>78</v>
      </c>
    </row>
    <row r="13" customFormat="false" ht="19.5" hidden="false" customHeight="true" outlineLevel="0" collapsed="false">
      <c r="A13" s="5" t="s">
        <v>42</v>
      </c>
      <c r="B13" s="6" t="s">
        <v>43</v>
      </c>
      <c r="C13" s="27" t="n">
        <v>100</v>
      </c>
      <c r="D13" s="28" t="s">
        <v>11</v>
      </c>
      <c r="E13" s="29" t="s">
        <v>78</v>
      </c>
    </row>
    <row r="14" customFormat="false" ht="19.5" hidden="false" customHeight="true" outlineLevel="0" collapsed="false">
      <c r="A14" s="5" t="s">
        <v>46</v>
      </c>
      <c r="B14" s="6" t="s">
        <v>47</v>
      </c>
      <c r="C14" s="27" t="n">
        <v>5000</v>
      </c>
      <c r="D14" s="28" t="s">
        <v>48</v>
      </c>
      <c r="E14" s="29" t="s">
        <v>78</v>
      </c>
    </row>
    <row r="15" customFormat="false" ht="19.5" hidden="false" customHeight="true" outlineLevel="0" collapsed="false">
      <c r="A15" s="5" t="s">
        <v>51</v>
      </c>
      <c r="B15" s="6" t="s">
        <v>52</v>
      </c>
      <c r="C15" s="27" t="n">
        <v>90</v>
      </c>
      <c r="D15" s="28" t="s">
        <v>25</v>
      </c>
      <c r="E15" s="29" t="s">
        <v>78</v>
      </c>
    </row>
    <row r="16" customFormat="false" ht="19.5" hidden="false" customHeight="true" outlineLevel="0" collapsed="false">
      <c r="A16" s="5" t="s">
        <v>55</v>
      </c>
      <c r="B16" s="6" t="s">
        <v>56</v>
      </c>
      <c r="C16" s="27" t="n">
        <v>55</v>
      </c>
      <c r="D16" s="28" t="s">
        <v>25</v>
      </c>
      <c r="E16" s="29" t="s">
        <v>78</v>
      </c>
    </row>
    <row r="17" customFormat="false" ht="19.5" hidden="false" customHeight="true" outlineLevel="0" collapsed="false">
      <c r="A17" s="5" t="s">
        <v>59</v>
      </c>
      <c r="B17" s="6" t="s">
        <v>60</v>
      </c>
      <c r="C17" s="27" t="n">
        <v>2000</v>
      </c>
      <c r="D17" s="28" t="s">
        <v>61</v>
      </c>
      <c r="E17" s="29" t="s">
        <v>78</v>
      </c>
    </row>
    <row r="19" customFormat="false" ht="19.5" hidden="false" customHeight="true" outlineLevel="0" collapsed="false">
      <c r="A19" s="26" t="s">
        <v>217</v>
      </c>
      <c r="B19" s="26"/>
      <c r="C19" s="26"/>
      <c r="D19" s="26"/>
      <c r="E19" s="26"/>
    </row>
    <row r="20" customFormat="false" ht="19.5" hidden="false" customHeight="true" outlineLevel="0" collapsed="false">
      <c r="A20" s="30" t="s">
        <v>73</v>
      </c>
      <c r="B20" s="16" t="s">
        <v>74</v>
      </c>
      <c r="C20" s="31" t="n">
        <f aca="false">C8*C7</f>
        <v>0.004</v>
      </c>
      <c r="D20" s="30" t="s">
        <v>76</v>
      </c>
      <c r="E20" s="32" t="s">
        <v>218</v>
      </c>
    </row>
    <row r="21" customFormat="false" ht="19.5" hidden="false" customHeight="true" outlineLevel="0" collapsed="false">
      <c r="A21" s="30" t="s">
        <v>219</v>
      </c>
      <c r="B21" s="16" t="s">
        <v>78</v>
      </c>
      <c r="C21" s="31" t="str">
        <f aca="false">IF(C20&gt;0.001,"GRÜN (&gt; 10⁻³)",IF(C20&gt;0.0001,"GELB (10⁻⁴–10⁻³)","ROT (&lt; 10⁻⁴)"))</f>
        <v>GRÜN (&gt; 10⁻³)</v>
      </c>
      <c r="D21" s="30" t="s">
        <v>78</v>
      </c>
      <c r="E21" s="32" t="s">
        <v>85</v>
      </c>
    </row>
    <row r="23" customFormat="false" ht="19.5" hidden="false" customHeight="true" outlineLevel="0" collapsed="false">
      <c r="A23" s="26" t="s">
        <v>220</v>
      </c>
      <c r="B23" s="26"/>
      <c r="C23" s="26"/>
      <c r="D23" s="26"/>
      <c r="E23" s="26"/>
    </row>
    <row r="24" customFormat="false" ht="19.5" hidden="false" customHeight="true" outlineLevel="0" collapsed="false">
      <c r="A24" s="30" t="s">
        <v>221</v>
      </c>
      <c r="B24" s="16" t="s">
        <v>89</v>
      </c>
      <c r="C24" s="31" t="n">
        <f aca="false">C9-C12</f>
        <v>4</v>
      </c>
      <c r="D24" s="30" t="s">
        <v>91</v>
      </c>
      <c r="E24" s="32" t="s">
        <v>93</v>
      </c>
    </row>
    <row r="25" customFormat="false" ht="19.5" hidden="false" customHeight="true" outlineLevel="0" collapsed="false">
      <c r="A25" s="33" t="s">
        <v>222</v>
      </c>
      <c r="B25" s="34" t="s">
        <v>96</v>
      </c>
      <c r="C25" s="35" t="n">
        <f aca="false">C11*C24*4.18</f>
        <v>250.8</v>
      </c>
      <c r="D25" s="36" t="s">
        <v>48</v>
      </c>
      <c r="E25" s="37" t="s">
        <v>100</v>
      </c>
    </row>
    <row r="26" customFormat="false" ht="19.5" hidden="false" customHeight="true" outlineLevel="0" collapsed="false">
      <c r="A26" s="33" t="s">
        <v>102</v>
      </c>
      <c r="B26" s="34" t="s">
        <v>103</v>
      </c>
      <c r="C26" s="35" t="n">
        <f aca="false">CEILING(C14/C25,1)</f>
        <v>20</v>
      </c>
      <c r="D26" s="36" t="s">
        <v>78</v>
      </c>
      <c r="E26" s="37" t="s">
        <v>223</v>
      </c>
    </row>
    <row r="27" customFormat="false" ht="19.5" hidden="false" customHeight="true" outlineLevel="0" collapsed="false">
      <c r="A27" s="33" t="s">
        <v>108</v>
      </c>
      <c r="B27" s="34" t="s">
        <v>109</v>
      </c>
      <c r="C27" s="35" t="n">
        <f aca="false">C26*C25</f>
        <v>5016</v>
      </c>
      <c r="D27" s="36" t="s">
        <v>48</v>
      </c>
      <c r="E27" s="37" t="s">
        <v>78</v>
      </c>
    </row>
    <row r="28" customFormat="false" ht="19.5" hidden="false" customHeight="true" outlineLevel="0" collapsed="false">
      <c r="A28" s="30" t="s">
        <v>112</v>
      </c>
      <c r="B28" s="16" t="s">
        <v>113</v>
      </c>
      <c r="C28" s="31" t="n">
        <f aca="false">C26*C11</f>
        <v>300</v>
      </c>
      <c r="D28" s="30" t="s">
        <v>35</v>
      </c>
      <c r="E28" s="32" t="s">
        <v>78</v>
      </c>
    </row>
    <row r="29" customFormat="false" ht="19.5" hidden="false" customHeight="true" outlineLevel="0" collapsed="false">
      <c r="A29" s="33" t="s">
        <v>116</v>
      </c>
      <c r="B29" s="34" t="s">
        <v>117</v>
      </c>
      <c r="C29" s="35" t="n">
        <f aca="false">C27*C17/1000</f>
        <v>10032</v>
      </c>
      <c r="D29" s="36" t="s">
        <v>119</v>
      </c>
      <c r="E29" s="37" t="s">
        <v>224</v>
      </c>
    </row>
    <row r="31" customFormat="false" ht="19.5" hidden="false" customHeight="true" outlineLevel="0" collapsed="false">
      <c r="A31" s="26" t="s">
        <v>225</v>
      </c>
      <c r="B31" s="26"/>
      <c r="C31" s="26"/>
      <c r="D31" s="26"/>
      <c r="E31" s="26"/>
    </row>
    <row r="32" customFormat="false" ht="19.5" hidden="false" customHeight="true" outlineLevel="0" collapsed="false">
      <c r="A32" s="30" t="s">
        <v>226</v>
      </c>
      <c r="B32" s="16" t="s">
        <v>124</v>
      </c>
      <c r="C32" s="31" t="n">
        <f aca="false">(C11/1000)*1000*9.81*C6/(0.6*1000)</f>
        <v>122.625</v>
      </c>
      <c r="D32" s="30" t="s">
        <v>48</v>
      </c>
      <c r="E32" s="32" t="s">
        <v>227</v>
      </c>
    </row>
    <row r="33" customFormat="false" ht="19.5" hidden="false" customHeight="true" outlineLevel="0" collapsed="false">
      <c r="A33" s="30" t="s">
        <v>130</v>
      </c>
      <c r="B33" s="16" t="s">
        <v>131</v>
      </c>
      <c r="C33" s="31" t="n">
        <f aca="false">C25*1000/C6</f>
        <v>501.6</v>
      </c>
      <c r="D33" s="30" t="s">
        <v>133</v>
      </c>
      <c r="E33" s="32" t="s">
        <v>135</v>
      </c>
    </row>
    <row r="34" customFormat="false" ht="19.5" hidden="false" customHeight="true" outlineLevel="0" collapsed="false">
      <c r="A34" s="33" t="s">
        <v>228</v>
      </c>
      <c r="B34" s="34" t="s">
        <v>138</v>
      </c>
      <c r="C34" s="35" t="n">
        <f aca="false">(PI()*0.25*C7*C13^2)/(4*(C11/1000))/(365*24*3600)</f>
        <v>0.166032082571759</v>
      </c>
      <c r="D34" s="36" t="s">
        <v>140</v>
      </c>
      <c r="E34" s="37" t="s">
        <v>143</v>
      </c>
    </row>
    <row r="35" customFormat="false" ht="19.5" hidden="false" customHeight="true" outlineLevel="0" collapsed="false">
      <c r="A35" s="30" t="s">
        <v>145</v>
      </c>
      <c r="B35" s="16" t="s">
        <v>146</v>
      </c>
      <c r="C35" s="31" t="n">
        <f aca="false">SQRT((4*(C11/1000)*25*365*86400)/(PI()*0.25*C7))</f>
        <v>1227.08316164953</v>
      </c>
      <c r="D35" s="30" t="s">
        <v>11</v>
      </c>
      <c r="E35" s="32" t="s">
        <v>143</v>
      </c>
    </row>
    <row r="36" customFormat="false" ht="19.5" hidden="false" customHeight="true" outlineLevel="0" collapsed="false">
      <c r="A36" s="30" t="s">
        <v>229</v>
      </c>
      <c r="B36" s="16" t="s">
        <v>78</v>
      </c>
      <c r="C36" s="31" t="str">
        <f aca="false">IF(C34&gt;25,"GRÜN (&gt; 25 a)",IF(C34&gt;15,"GELB (15–25 a)","ROT (&lt; 15 a)"))</f>
        <v>ROT (&lt; 15 a)</v>
      </c>
      <c r="D36" s="30" t="s">
        <v>78</v>
      </c>
      <c r="E36" s="32" t="s">
        <v>154</v>
      </c>
    </row>
    <row r="38" customFormat="false" ht="19.5" hidden="false" customHeight="true" outlineLevel="0" collapsed="false">
      <c r="A38" s="26" t="s">
        <v>230</v>
      </c>
      <c r="B38" s="26"/>
      <c r="C38" s="26"/>
      <c r="D38" s="26"/>
      <c r="E38" s="26"/>
    </row>
    <row r="39" customFormat="false" ht="19.5" hidden="false" customHeight="true" outlineLevel="0" collapsed="false">
      <c r="A39" s="33" t="s">
        <v>231</v>
      </c>
      <c r="B39" s="34" t="s">
        <v>232</v>
      </c>
      <c r="C39" s="35" t="n">
        <f aca="false">C15-C9</f>
        <v>74</v>
      </c>
      <c r="D39" s="36" t="s">
        <v>91</v>
      </c>
      <c r="E39" s="37" t="s">
        <v>233</v>
      </c>
    </row>
    <row r="40" customFormat="false" ht="19.5" hidden="false" customHeight="true" outlineLevel="0" collapsed="false">
      <c r="A40" s="33" t="s">
        <v>234</v>
      </c>
      <c r="B40" s="34" t="s">
        <v>158</v>
      </c>
      <c r="C40" s="35" t="n">
        <f aca="false">IF((C15+273.15-(C9+273.15))&gt;0.5,((C15+273.15)/(C15+273.15-(C9+273.15)))*0.5,99)</f>
        <v>2.45371621621622</v>
      </c>
      <c r="D40" s="36" t="s">
        <v>78</v>
      </c>
      <c r="E40" s="37" t="s">
        <v>235</v>
      </c>
    </row>
    <row r="41" customFormat="false" ht="19.5" hidden="false" customHeight="true" outlineLevel="0" collapsed="false">
      <c r="A41" s="30" t="s">
        <v>164</v>
      </c>
      <c r="B41" s="16" t="s">
        <v>165</v>
      </c>
      <c r="C41" s="31" t="n">
        <f aca="false">IF(C40&lt;90,C27/(C40-1),0)</f>
        <v>3450.46711596561</v>
      </c>
      <c r="D41" s="30" t="s">
        <v>48</v>
      </c>
      <c r="E41" s="32" t="s">
        <v>168</v>
      </c>
    </row>
    <row r="42" customFormat="false" ht="19.5" hidden="false" customHeight="true" outlineLevel="0" collapsed="false">
      <c r="A42" s="30" t="s">
        <v>236</v>
      </c>
      <c r="B42" s="16" t="s">
        <v>78</v>
      </c>
      <c r="C42" s="31" t="str">
        <f aca="false">IF(C40&lt;90,IF(C40&gt;3,"GRÜN (&gt; 3)","GELB/ROT"),"Direktnutzung")</f>
        <v>GELB/ROT</v>
      </c>
      <c r="D42" s="30" t="s">
        <v>78</v>
      </c>
      <c r="E42" s="32" t="s">
        <v>237</v>
      </c>
    </row>
    <row r="43" customFormat="false" ht="19.5" hidden="false" customHeight="true" outlineLevel="0" collapsed="false">
      <c r="A43" s="33" t="s">
        <v>176</v>
      </c>
      <c r="B43" s="34" t="s">
        <v>177</v>
      </c>
      <c r="C43" s="35" t="str">
        <f aca="false">IF(C39&lt;=0,"Direktnutzung",IF(C39&lt;=35,"Standard-WP (EN 14511)",IF(C39&lt;=60,"Hochtemperatur-WP (Arpagaus 2018)","Industrielle HT-WP / ORC (Zühlsdorf 2019)")))</f>
        <v>Industrielle HT-WP / ORC (Zühlsdorf 2019)</v>
      </c>
      <c r="D43" s="36" t="s">
        <v>78</v>
      </c>
      <c r="E43" s="37" t="s">
        <v>238</v>
      </c>
    </row>
    <row r="45" customFormat="false" ht="19.5" hidden="false" customHeight="true" outlineLevel="0" collapsed="false">
      <c r="A45" s="26" t="s">
        <v>239</v>
      </c>
      <c r="B45" s="26"/>
      <c r="C45" s="26"/>
      <c r="D45" s="26"/>
      <c r="E45" s="26"/>
    </row>
    <row r="46" customFormat="false" ht="19.5" hidden="false" customHeight="true" outlineLevel="0" collapsed="false">
      <c r="A46" s="30" t="s">
        <v>240</v>
      </c>
      <c r="B46" s="16" t="s">
        <v>241</v>
      </c>
      <c r="C46" s="31" t="n">
        <f aca="false">C9-C15</f>
        <v>-74</v>
      </c>
      <c r="D46" s="30" t="s">
        <v>91</v>
      </c>
      <c r="E46" s="32" t="s">
        <v>188</v>
      </c>
    </row>
    <row r="47" customFormat="false" ht="19.5" hidden="false" customHeight="true" outlineLevel="0" collapsed="false">
      <c r="A47" s="30" t="s">
        <v>242</v>
      </c>
      <c r="B47" s="16" t="s">
        <v>243</v>
      </c>
      <c r="C47" s="31" t="n">
        <f aca="false">C12-C16</f>
        <v>-43</v>
      </c>
      <c r="D47" s="30" t="s">
        <v>91</v>
      </c>
      <c r="E47" s="32" t="s">
        <v>188</v>
      </c>
    </row>
    <row r="48" customFormat="false" ht="19.5" hidden="false" customHeight="true" outlineLevel="0" collapsed="false">
      <c r="A48" s="33" t="s">
        <v>184</v>
      </c>
      <c r="B48" s="34" t="s">
        <v>184</v>
      </c>
      <c r="C48" s="35" t="str">
        <f aca="false">IF(AND(C46&gt;0,C47&gt;0),IF(ABS(C46-C47)&lt;0.001,C46,(C46-C47)/LN(C46/C47)),"n/a (ΔT ≤ 0)")</f>
        <v>n/a (ΔT ≤ 0)</v>
      </c>
      <c r="D48" s="36" t="s">
        <v>91</v>
      </c>
      <c r="E48" s="37" t="s">
        <v>188</v>
      </c>
    </row>
    <row r="49" customFormat="false" ht="19.5" hidden="false" customHeight="true" outlineLevel="0" collapsed="false">
      <c r="A49" s="33" t="s">
        <v>244</v>
      </c>
      <c r="B49" s="34" t="s">
        <v>191</v>
      </c>
      <c r="C49" s="35" t="str">
        <f aca="false">IF(ISNUMBER(C48),C27*1000/(4000*C48),"n/a")</f>
        <v>n/a</v>
      </c>
      <c r="D49" s="36" t="s">
        <v>193</v>
      </c>
      <c r="E49" s="37" t="s">
        <v>188</v>
      </c>
    </row>
    <row r="51" customFormat="false" ht="19.5" hidden="false" customHeight="true" outlineLevel="0" collapsed="false">
      <c r="A51" s="26" t="s">
        <v>245</v>
      </c>
      <c r="B51" s="26"/>
      <c r="C51" s="26"/>
      <c r="D51" s="26"/>
      <c r="E51" s="26"/>
    </row>
    <row r="52" customFormat="false" ht="19.5" hidden="false" customHeight="true" outlineLevel="0" collapsed="false">
      <c r="A52" s="30" t="s">
        <v>246</v>
      </c>
      <c r="B52" s="16" t="s">
        <v>199</v>
      </c>
      <c r="C52" s="31" t="str">
        <f aca="false">IF(C10&lt;1000,"1.4571 Edelstahl (grün)",IF(C10&lt;10000,"1.4462 Duplex-Stahl (gelb)","Titan/Hastelloy C-276 (rot)"))</f>
        <v>1.4571 Edelstahl (grün)</v>
      </c>
      <c r="D52" s="30" t="s">
        <v>78</v>
      </c>
      <c r="E52" s="32" t="s">
        <v>203</v>
      </c>
    </row>
    <row r="53" customFormat="false" ht="19.5" hidden="false" customHeight="true" outlineLevel="0" collapsed="false">
      <c r="A53" s="30" t="s">
        <v>205</v>
      </c>
      <c r="B53" s="16" t="s">
        <v>206</v>
      </c>
      <c r="C53" s="31" t="str">
        <f aca="false">IF(C10&lt;500,"Gering – keine Maßnahmen",IF(C10&lt;5000,"Mittel – Inhibitoren prüfen","Hoch – chem. Behandlung"))</f>
        <v>Mittel – Inhibitoren prüfen</v>
      </c>
      <c r="D53" s="30" t="s">
        <v>78</v>
      </c>
      <c r="E53" s="32" t="s">
        <v>247</v>
      </c>
    </row>
  </sheetData>
  <mergeCells count="9">
    <mergeCell ref="A1:E1"/>
    <mergeCell ref="A2:E2"/>
    <mergeCell ref="A5:E5"/>
    <mergeCell ref="A19:E19"/>
    <mergeCell ref="A23:E23"/>
    <mergeCell ref="A31:E31"/>
    <mergeCell ref="A38:E38"/>
    <mergeCell ref="A45:E45"/>
    <mergeCell ref="A51:E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2"/>
    <col collapsed="false" customWidth="true" hidden="false" outlineLevel="0" max="3" min="3" style="0" width="40"/>
    <col collapsed="false" customWidth="true" hidden="false" outlineLevel="0" max="4" min="4" style="0" width="20"/>
  </cols>
  <sheetData>
    <row r="1" customFormat="false" ht="30" hidden="false" customHeight="true" outlineLevel="0" collapsed="false">
      <c r="A1" s="1" t="s">
        <v>248</v>
      </c>
      <c r="B1" s="1"/>
      <c r="C1" s="1"/>
      <c r="D1" s="1"/>
    </row>
    <row r="2" customFormat="false" ht="15.75" hidden="false" customHeight="true" outlineLevel="0" collapsed="false">
      <c r="A2" s="2" t="s">
        <v>249</v>
      </c>
      <c r="B2" s="2"/>
      <c r="C2" s="2"/>
      <c r="D2" s="2"/>
    </row>
    <row r="3" customFormat="false" ht="6" hidden="false" customHeight="true" outlineLevel="0" collapsed="false"/>
    <row r="4" customFormat="false" ht="21.75" hidden="false" customHeight="true" outlineLevel="0" collapsed="false">
      <c r="A4" s="3" t="s">
        <v>250</v>
      </c>
      <c r="B4" s="3" t="s">
        <v>71</v>
      </c>
      <c r="C4" s="3" t="s">
        <v>251</v>
      </c>
      <c r="D4" s="3" t="s">
        <v>252</v>
      </c>
    </row>
    <row r="5" customFormat="false" ht="48" hidden="false" customHeight="true" outlineLevel="0" collapsed="false">
      <c r="A5" s="24" t="s">
        <v>79</v>
      </c>
      <c r="B5" s="38" t="s">
        <v>253</v>
      </c>
      <c r="C5" s="25" t="s">
        <v>254</v>
      </c>
      <c r="D5" s="39" t="s">
        <v>255</v>
      </c>
    </row>
    <row r="6" customFormat="false" ht="48" hidden="false" customHeight="true" outlineLevel="0" collapsed="false">
      <c r="A6" s="19" t="s">
        <v>135</v>
      </c>
      <c r="B6" s="40" t="s">
        <v>256</v>
      </c>
      <c r="C6" s="20" t="s">
        <v>257</v>
      </c>
      <c r="D6" s="41" t="s">
        <v>255</v>
      </c>
    </row>
    <row r="7" customFormat="false" ht="48" hidden="false" customHeight="true" outlineLevel="0" collapsed="false">
      <c r="A7" s="24" t="s">
        <v>233</v>
      </c>
      <c r="B7" s="38" t="s">
        <v>258</v>
      </c>
      <c r="C7" s="25" t="s">
        <v>259</v>
      </c>
      <c r="D7" s="39" t="s">
        <v>255</v>
      </c>
    </row>
    <row r="8" customFormat="false" ht="48" hidden="false" customHeight="true" outlineLevel="0" collapsed="false">
      <c r="A8" s="19" t="s">
        <v>168</v>
      </c>
      <c r="B8" s="40" t="s">
        <v>260</v>
      </c>
      <c r="C8" s="20" t="s">
        <v>261</v>
      </c>
      <c r="D8" s="41" t="s">
        <v>262</v>
      </c>
    </row>
    <row r="9" customFormat="false" ht="48" hidden="false" customHeight="true" outlineLevel="0" collapsed="false">
      <c r="A9" s="24" t="s">
        <v>235</v>
      </c>
      <c r="B9" s="38" t="s">
        <v>263</v>
      </c>
      <c r="C9" s="25" t="s">
        <v>264</v>
      </c>
      <c r="D9" s="39" t="s">
        <v>265</v>
      </c>
    </row>
    <row r="10" customFormat="false" ht="48" hidden="false" customHeight="true" outlineLevel="0" collapsed="false">
      <c r="A10" s="19" t="s">
        <v>266</v>
      </c>
      <c r="B10" s="40" t="s">
        <v>267</v>
      </c>
      <c r="C10" s="20" t="s">
        <v>268</v>
      </c>
      <c r="D10" s="41" t="s">
        <v>265</v>
      </c>
    </row>
    <row r="11" customFormat="false" ht="48" hidden="false" customHeight="true" outlineLevel="0" collapsed="false">
      <c r="A11" s="24" t="s">
        <v>143</v>
      </c>
      <c r="B11" s="38" t="s">
        <v>144</v>
      </c>
      <c r="C11" s="25" t="s">
        <v>269</v>
      </c>
      <c r="D11" s="39" t="s">
        <v>270</v>
      </c>
    </row>
    <row r="12" customFormat="false" ht="48" hidden="false" customHeight="true" outlineLevel="0" collapsed="false">
      <c r="A12" s="19" t="s">
        <v>100</v>
      </c>
      <c r="B12" s="40" t="s">
        <v>271</v>
      </c>
      <c r="C12" s="20" t="s">
        <v>272</v>
      </c>
      <c r="D12" s="41" t="s">
        <v>265</v>
      </c>
    </row>
    <row r="13" customFormat="false" ht="48" hidden="false" customHeight="true" outlineLevel="0" collapsed="false">
      <c r="A13" s="24" t="s">
        <v>188</v>
      </c>
      <c r="B13" s="38" t="s">
        <v>273</v>
      </c>
      <c r="C13" s="25" t="s">
        <v>274</v>
      </c>
      <c r="D13" s="39" t="s">
        <v>275</v>
      </c>
    </row>
    <row r="14" customFormat="false" ht="48" hidden="false" customHeight="true" outlineLevel="0" collapsed="false">
      <c r="A14" s="19" t="s">
        <v>128</v>
      </c>
      <c r="B14" s="40" t="s">
        <v>276</v>
      </c>
      <c r="C14" s="20" t="s">
        <v>277</v>
      </c>
      <c r="D14" s="41" t="s">
        <v>255</v>
      </c>
    </row>
    <row r="15" customFormat="false" ht="48" hidden="false" customHeight="true" outlineLevel="0" collapsed="false">
      <c r="A15" s="24" t="s">
        <v>278</v>
      </c>
      <c r="B15" s="38" t="s">
        <v>279</v>
      </c>
      <c r="C15" s="25" t="s">
        <v>280</v>
      </c>
      <c r="D15" s="39" t="s">
        <v>270</v>
      </c>
    </row>
    <row r="16" customFormat="false" ht="48" hidden="false" customHeight="true" outlineLevel="0" collapsed="false">
      <c r="A16" s="19" t="s">
        <v>281</v>
      </c>
      <c r="B16" s="40" t="s">
        <v>282</v>
      </c>
      <c r="C16" s="20" t="s">
        <v>283</v>
      </c>
      <c r="D16" s="41" t="s">
        <v>284</v>
      </c>
    </row>
    <row r="17" customFormat="false" ht="48" hidden="false" customHeight="true" outlineLevel="0" collapsed="false">
      <c r="A17" s="24" t="s">
        <v>285</v>
      </c>
      <c r="B17" s="38" t="s">
        <v>286</v>
      </c>
      <c r="C17" s="25" t="s">
        <v>287</v>
      </c>
      <c r="D17" s="39" t="s">
        <v>255</v>
      </c>
    </row>
    <row r="18" customFormat="false" ht="48" hidden="false" customHeight="true" outlineLevel="0" collapsed="false">
      <c r="A18" s="19" t="s">
        <v>288</v>
      </c>
      <c r="B18" s="40" t="s">
        <v>289</v>
      </c>
      <c r="C18" s="20" t="s">
        <v>290</v>
      </c>
      <c r="D18" s="41" t="s">
        <v>291</v>
      </c>
    </row>
    <row r="19" customFormat="false" ht="48" hidden="false" customHeight="true" outlineLevel="0" collapsed="false">
      <c r="A19" s="24" t="s">
        <v>292</v>
      </c>
      <c r="B19" s="38" t="s">
        <v>293</v>
      </c>
      <c r="C19" s="25" t="s">
        <v>294</v>
      </c>
      <c r="D19" s="39" t="s">
        <v>262</v>
      </c>
    </row>
    <row r="20" customFormat="false" ht="48" hidden="false" customHeight="true" outlineLevel="0" collapsed="false">
      <c r="A20" s="19" t="s">
        <v>154</v>
      </c>
      <c r="B20" s="40" t="s">
        <v>295</v>
      </c>
      <c r="C20" s="20" t="s">
        <v>296</v>
      </c>
      <c r="D20" s="41" t="s">
        <v>297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049D6E0A7A118946AD9B848A570FFE1F" ma:contentTypeVersion="15" ma:contentTypeDescription="Ein neues Dokument erstellen." ma:contentTypeScope="" ma:versionID="20af03f8e2718f3cc9c7b1077d186036">
  <xsd:schema xmlns:xsd="http://www.w3.org/2001/XMLSchema" xmlns:xs="http://www.w3.org/2001/XMLSchema" xmlns:p="http://schemas.microsoft.com/office/2006/metadata/properties" xmlns:ns2="5535ad81-6440-4f71-8f36-c1ca10462588" xmlns:ns3="faa60347-2171-48b8-bd9e-c5505de47841" targetNamespace="http://schemas.microsoft.com/office/2006/metadata/properties" ma:root="true" ma:fieldsID="7aa3c08d413bbe231fe3144b3a5f5c66" ns2:_="" ns3:_="">
    <xsd:import namespace="5535ad81-6440-4f71-8f36-c1ca10462588"/>
    <xsd:import namespace="faa60347-2171-48b8-bd9e-c5505de478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35ad81-6440-4f71-8f36-c1ca1046258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ildmarkierungen" ma:readOnly="false" ma:fieldId="{5cf76f15-5ced-4ddc-b409-7134ff3c332f}" ma:taxonomyMulti="true" ma:sspId="4862026c-5e36-4531-a148-058f528a748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a60347-2171-48b8-bd9e-c5505de47841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02f5942b-0c89-4216-aebf-23012597fbc7}" ma:internalName="TaxCatchAll" ma:showField="CatchAllData" ma:web="faa60347-2171-48b8-bd9e-c5505de4784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535ad81-6440-4f71-8f36-c1ca10462588">
      <Terms xmlns="http://schemas.microsoft.com/office/infopath/2007/PartnerControls"/>
    </lcf76f155ced4ddcb4097134ff3c332f>
    <TaxCatchAll xmlns="faa60347-2171-48b8-bd9e-c5505de47841" xsi:nil="true"/>
  </documentManagement>
</p:properties>
</file>

<file path=customXml/itemProps1.xml><?xml version="1.0" encoding="utf-8"?>
<ds:datastoreItem xmlns:ds="http://schemas.openxmlformats.org/officeDocument/2006/customXml" ds:itemID="{A41D4C80-A6D2-4A7E-A850-2FBB0FB51C90}"/>
</file>

<file path=customXml/itemProps2.xml><?xml version="1.0" encoding="utf-8"?>
<ds:datastoreItem xmlns:ds="http://schemas.openxmlformats.org/officeDocument/2006/customXml" ds:itemID="{6C5A5FD0-A690-4E45-916D-C86D25BFC458}"/>
</file>

<file path=customXml/itemProps3.xml><?xml version="1.0" encoding="utf-8"?>
<ds:datastoreItem xmlns:ds="http://schemas.openxmlformats.org/officeDocument/2006/customXml" ds:itemID="{5C9D5299-C6EC-4A9C-A490-1695C642F705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/>
  <cp:revision>0</cp:revision>
  <dcterms:created xsi:type="dcterms:W3CDTF">2026-04-02T21:39:18Z</dcterms:created>
  <dcterms:modified xsi:type="dcterms:W3CDTF">2026-04-02T21:39:18Z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0x010100049D6E0A7A118946AD9B848A570FFE1F</vt:lpwstr>
  </property>
</Properties>
</file>