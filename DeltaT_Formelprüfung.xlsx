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_Eingabeparameter" sheetId="1" state="visible" r:id="rId3"/>
    <sheet name="2_Formeldokumentation" sheetId="2" state="visible" r:id="rId4"/>
    <sheet name="3_Berechnungsmodell" sheetId="3" state="visible" r:id="rId5"/>
    <sheet name="4_Quellen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<sst xmlns="http://schemas.openxmlformats.org/spreadsheetml/2006/main" count="335" uniqueCount="221">
  <si>
    <t xml:space="preserve">DeltaT – Geothermie Auslegungsrechner | Eingabeparameter</t>
  </si>
  <si>
    <t xml:space="preserve">Alle Eingaben mit Standardwerten, Einheiten, Wertebereichen und Beschreibung</t>
  </si>
  <si>
    <t xml:space="preserve">#</t>
  </si>
  <si>
    <t xml:space="preserve">Parameter</t>
  </si>
  <si>
    <t xml:space="preserve">Symbol</t>
  </si>
  <si>
    <t xml:space="preserve">Standardwert</t>
  </si>
  <si>
    <t xml:space="preserve">Einheit</t>
  </si>
  <si>
    <t xml:space="preserve">Wertebereich</t>
  </si>
  <si>
    <t xml:space="preserve">Beschreibung</t>
  </si>
  <si>
    <t xml:space="preserve">Reservoirtiefe</t>
  </si>
  <si>
    <t xml:space="preserve">h</t>
  </si>
  <si>
    <t xml:space="preserve">m</t>
  </si>
  <si>
    <t xml:space="preserve">100 – 5000 m</t>
  </si>
  <si>
    <t xml:space="preserve">Vertikale Tiefe der Förder-/Reinjektionsbohrung ab GOF. Bestimmt Pumpendruckhöhe und spez. Wärmeleistung.</t>
  </si>
  <si>
    <t xml:space="preserve">Aquifer-Mächtigkeit</t>
  </si>
  <si>
    <t xml:space="preserve">b</t>
  </si>
  <si>
    <t xml:space="preserve">5 – 300 m</t>
  </si>
  <si>
    <t xml:space="preserve">Vertikale Dicke des wasserführenden Horizonts. Geht direkt in Transmissivität und Durchbruchszeit ein.</t>
  </si>
  <si>
    <t xml:space="preserve">Hydraul. Leitfähigkeit</t>
  </si>
  <si>
    <t xml:space="preserve">k_f</t>
  </si>
  <si>
    <t xml:space="preserve">m/s</t>
  </si>
  <si>
    <t xml:space="preserve">1×10⁻⁶ – 1×10⁻² m/s</t>
  </si>
  <si>
    <t xml:space="preserve">Durchlässigkeitsbeiwert des Aquifers. Logarithmische Eingabe. Mit Mächtigkeit → Transmissivität T.</t>
  </si>
  <si>
    <t xml:space="preserve">Grundwassertemperatur</t>
  </si>
  <si>
    <t xml:space="preserve">T_GW</t>
  </si>
  <si>
    <t xml:space="preserve">°C</t>
  </si>
  <si>
    <t xml:space="preserve">5 – 180 °C</t>
  </si>
  <si>
    <t xml:space="preserve">Natürliche Reservoirtemperatur. Obere Grenze des nutzbaren Temperaturhubs. Grundlage der COP-Berechnung.</t>
  </si>
  <si>
    <t xml:space="preserve">TDS (Mineralisation)</t>
  </si>
  <si>
    <t xml:space="preserve">TDS</t>
  </si>
  <si>
    <t xml:space="preserve">mg/l</t>
  </si>
  <si>
    <t xml:space="preserve">0 – 200 000 mg/l</t>
  </si>
  <si>
    <t xml:space="preserve">Gesamtgehalt gelöster Feststoffe. Bestimmt Materialklasse (Edelstahl / Duplex / Titan) und Scaling-Risiko.</t>
  </si>
  <si>
    <t xml:space="preserve">Förderrate</t>
  </si>
  <si>
    <t xml:space="preserve">Q</t>
  </si>
  <si>
    <t xml:space="preserve">l/s</t>
  </si>
  <si>
    <t xml:space="preserve">1 – 200 l/s</t>
  </si>
  <si>
    <t xml:space="preserve">Volumenstrom der Förderbohrung. Kernparameter für Wärmeleistung, Pumpenleistung und Durchbruchszeit.</t>
  </si>
  <si>
    <t xml:space="preserve">Reinjektionstemperatur</t>
  </si>
  <si>
    <t xml:space="preserve">T_R</t>
  </si>
  <si>
    <t xml:space="preserve">5 – 40 °C</t>
  </si>
  <si>
    <t xml:space="preserve">Temperatur des abgekühlten Wassers bei Rückeinspeisung. ΔT = T_GW – T_R = nutzbare Temperaturdifferenz.</t>
  </si>
  <si>
    <t xml:space="preserve">Bohrloch-Abstand</t>
  </si>
  <si>
    <t xml:space="preserve">d</t>
  </si>
  <si>
    <t xml:space="preserve">20 – 2000 m</t>
  </si>
  <si>
    <t xml:space="preserve">Horizontalabstand Förder-/Reinjektionsbohrung. Bestimmt thermische Durchbruchszeit (Drost 1978).</t>
  </si>
  <si>
    <t xml:space="preserve">Ziel-Wärmeleistung</t>
  </si>
  <si>
    <t xml:space="preserve">Q_Ziel</t>
  </si>
  <si>
    <t xml:space="preserve">kW</t>
  </si>
  <si>
    <t xml:space="preserve">100 – 100 000 kW</t>
  </si>
  <si>
    <t xml:space="preserve">Gewünschte Gesamtleistung. Ergibt Anzahl der benötigten Dubletten.</t>
  </si>
  <si>
    <t xml:space="preserve">Vorlauftemperatur</t>
  </si>
  <si>
    <t xml:space="preserve">T_VL</t>
  </si>
  <si>
    <t xml:space="preserve">30 – 160 °C</t>
  </si>
  <si>
    <t xml:space="preserve">Warmseite Wärmenetz / Prozess. Bestimmt Temperaturhub ΔT_hub und WP-Typ-Klassifikation.</t>
  </si>
  <si>
    <t xml:space="preserve">Rücklauftemperatur</t>
  </si>
  <si>
    <t xml:space="preserve">T_RL</t>
  </si>
  <si>
    <t xml:space="preserve">20 – 80 °C</t>
  </si>
  <si>
    <t xml:space="preserve">Kaltrücklauf aus dem Wärmenetz. Kälteste Seite im Wärmetauscher (LMTD-Berechnung).</t>
  </si>
  <si>
    <t xml:space="preserve">Laufstunden</t>
  </si>
  <si>
    <t xml:space="preserve">t_LZ</t>
  </si>
  <si>
    <t xml:space="preserve">h/a</t>
  </si>
  <si>
    <t xml:space="preserve">500 – 8760 h/a</t>
  </si>
  <si>
    <t xml:space="preserve">Betriebsstunden pro Jahr. Mit Gesamtleistung → Jahreswärmemenge [MWh/a].</t>
  </si>
  <si>
    <t xml:space="preserve">Blau = Eingabewert (vom Nutzer einstellbar)  |  Schwarz = berechnet  |  Grün = Verweis aus anderem Tabellenblatt</t>
  </si>
  <si>
    <t xml:space="preserve">DeltaT – Geothermie Auslegungsrechner | Formeldokumentation</t>
  </si>
  <si>
    <t xml:space="preserve">Alle Berechnungsformeln mit mathematischer Notation, Einheiten und Literaturquelle</t>
  </si>
  <si>
    <t xml:space="preserve">Berechnung</t>
  </si>
  <si>
    <t xml:space="preserve">Formel (mathematisch)</t>
  </si>
  <si>
    <t xml:space="preserve">Eingaben</t>
  </si>
  <si>
    <t xml:space="preserve">Annahmen / Konstanten</t>
  </si>
  <si>
    <t xml:space="preserve">Literaturquelle</t>
  </si>
  <si>
    <t xml:space="preserve">Transmissivität</t>
  </si>
  <si>
    <t xml:space="preserve">T</t>
  </si>
  <si>
    <t xml:space="preserve">T = k_f × b</t>
  </si>
  <si>
    <t xml:space="preserve">m²/s</t>
  </si>
  <si>
    <t xml:space="preserve">k_f, b</t>
  </si>
  <si>
    <t xml:space="preserve">–</t>
  </si>
  <si>
    <t xml:space="preserve">VDI 4640 Bl. 1; Kühn 2012</t>
  </si>
  <si>
    <t xml:space="preserve">Temperatur-differenz (nutzbar)</t>
  </si>
  <si>
    <t xml:space="preserve">ΔT</t>
  </si>
  <si>
    <t xml:space="preserve">ΔT = T_GW − T_R</t>
  </si>
  <si>
    <t xml:space="preserve">K</t>
  </si>
  <si>
    <t xml:space="preserve">T_GW, T_R</t>
  </si>
  <si>
    <t xml:space="preserve">Grundlage Energiebilanz</t>
  </si>
  <si>
    <t xml:space="preserve">Thermische Leistung je Dublett</t>
  </si>
  <si>
    <t xml:space="preserve">Q_th</t>
  </si>
  <si>
    <t xml:space="preserve">Q_th = Q × c_p × ΔT</t>
  </si>
  <si>
    <t xml:space="preserve">Q [l/s], ΔT [K]</t>
  </si>
  <si>
    <t xml:space="preserve">c_p = 4,18 kJ/(kg·K); ρ_W ≈ 1 kg/l → Q[l/s] ≈ ṁ[kg/s]</t>
  </si>
  <si>
    <t xml:space="preserve">VDI 4640 Bl. 2; Sanner et al. 2003</t>
  </si>
  <si>
    <t xml:space="preserve">Anzahl Dubletten</t>
  </si>
  <si>
    <t xml:space="preserve">n_D</t>
  </si>
  <si>
    <t xml:space="preserve">n_D = ⌈Q_Ziel / Q_th⌉</t>
  </si>
  <si>
    <t xml:space="preserve">Q_Ziel, Q_th</t>
  </si>
  <si>
    <t xml:space="preserve">Aufrunden auf ganze Zahl (CEILING)</t>
  </si>
  <si>
    <t xml:space="preserve">Gesamtleistung</t>
  </si>
  <si>
    <t xml:space="preserve">Q_ges</t>
  </si>
  <si>
    <t xml:space="preserve">Q_ges = n_D × Q_th</t>
  </si>
  <si>
    <t xml:space="preserve">n_D, Q_th</t>
  </si>
  <si>
    <t xml:space="preserve">Gesamtförderrate</t>
  </si>
  <si>
    <t xml:space="preserve">Q_ges,hyd</t>
  </si>
  <si>
    <t xml:space="preserve">Q_ges,hyd = n_D × Q</t>
  </si>
  <si>
    <t xml:space="preserve">n_D, Q</t>
  </si>
  <si>
    <t xml:space="preserve">Tauchpumpen-leistung</t>
  </si>
  <si>
    <t xml:space="preserve">P_pump</t>
  </si>
  <si>
    <t xml:space="preserve">P_pump = (Q/1000) × ρ × g × h / η</t>
  </si>
  <si>
    <t xml:space="preserve">Q [l/s], h [m]</t>
  </si>
  <si>
    <t xml:space="preserve">ρ = 1000 kg/m³; g = 9,81 m/s²; η = 0,60</t>
  </si>
  <si>
    <t xml:space="preserve">VDI 3803; Herstellerangaben</t>
  </si>
  <si>
    <t xml:space="preserve">Thermische Durch-bruchszeit</t>
  </si>
  <si>
    <t xml:space="preserve">t_break</t>
  </si>
  <si>
    <t xml:space="preserve">t_break = π × n × b × d² / (4 × Q_m)</t>
  </si>
  <si>
    <t xml:space="preserve">Jahre</t>
  </si>
  <si>
    <t xml:space="preserve">b, d, Q [l/s → m³/s]</t>
  </si>
  <si>
    <t xml:space="preserve">n = 0,25 (Porosität); Q_m = Q/1000 [m³/s]</t>
  </si>
  <si>
    <t xml:space="preserve">Drost 1978</t>
  </si>
  <si>
    <t xml:space="preserve">Optimaler Bohrloch-abstand</t>
  </si>
  <si>
    <t xml:space="preserve">d_opt</t>
  </si>
  <si>
    <t xml:space="preserve">d_opt = √(4 × Q_m × t_ref × 365×86400 / (π × n × b))</t>
  </si>
  <si>
    <t xml:space="preserve">Q, b</t>
  </si>
  <si>
    <t xml:space="preserve">n = 0,25; t_ref = 25 Jahre</t>
  </si>
  <si>
    <t xml:space="preserve">Spezifische Wärme-leistung</t>
  </si>
  <si>
    <t xml:space="preserve">q_spez</t>
  </si>
  <si>
    <t xml:space="preserve">q_spez = Q_th × 1000 / h</t>
  </si>
  <si>
    <t xml:space="preserve">W/m</t>
  </si>
  <si>
    <t xml:space="preserve">Q_th, h</t>
  </si>
  <si>
    <t xml:space="preserve">VDI 4640 Bl. 2</t>
  </si>
  <si>
    <t xml:space="preserve">COP (Wärmepumpe)</t>
  </si>
  <si>
    <t xml:space="preserve">COP</t>
  </si>
  <si>
    <t xml:space="preserve">COP = (T_VL / (T_VL − T_GW)) × η_Carnot</t>
  </si>
  <si>
    <t xml:space="preserve">T_VL [K], T_GW [K]</t>
  </si>
  <si>
    <t xml:space="preserve">η_Carnot = 0,50 (50 % des Carnot-COP)</t>
  </si>
  <si>
    <t xml:space="preserve">Arpagaus et al. 2018; IEA HP Annex 35</t>
  </si>
  <si>
    <t xml:space="preserve">El. Leistung WP</t>
  </si>
  <si>
    <t xml:space="preserve">P_el,WP</t>
  </si>
  <si>
    <t xml:space="preserve">P_el,WP = Q_geo / (COP − 1)</t>
  </si>
  <si>
    <t xml:space="preserve">Q_ges, COP</t>
  </si>
  <si>
    <t xml:space="preserve">Aus COP-Definition: COP = (Q_geo + P_el) / P_el</t>
  </si>
  <si>
    <t xml:space="preserve">EN 14511</t>
  </si>
  <si>
    <t xml:space="preserve">LMTD (Wärme-tauscher, Gegen-strom)</t>
  </si>
  <si>
    <t xml:space="preserve">LMTD</t>
  </si>
  <si>
    <t xml:space="preserve">LMTD = (ΔT₁ − ΔT₂) / ln(ΔT₁/ΔT₂)</t>
  </si>
  <si>
    <t xml:space="preserve">T_GW, T_R, T_VL, T_RL</t>
  </si>
  <si>
    <t xml:space="preserve">ΔT₁ = T_GW − T_VL; ΔT₂ = T_R − T_RL (Gegenstrom)</t>
  </si>
  <si>
    <t xml:space="preserve">VDI Wärmeatlas 2019</t>
  </si>
  <si>
    <t xml:space="preserve">Wärmetauscher-fläche</t>
  </si>
  <si>
    <t xml:space="preserve">A_WT</t>
  </si>
  <si>
    <t xml:space="preserve">A_WT = Q_ges × 1000 / (U × LMTD)</t>
  </si>
  <si>
    <t xml:space="preserve">m²</t>
  </si>
  <si>
    <t xml:space="preserve">Q_ges, LMTD</t>
  </si>
  <si>
    <t xml:space="preserve">U = 4000 W/(m²·K) (Plattenwärmetauscher)</t>
  </si>
  <si>
    <t xml:space="preserve">Temperatuhub WP</t>
  </si>
  <si>
    <t xml:space="preserve">ΔT_hub</t>
  </si>
  <si>
    <t xml:space="preserve">ΔT_hub = T_VL − T_GW</t>
  </si>
  <si>
    <t xml:space="preserve">T_VL, T_GW</t>
  </si>
  <si>
    <t xml:space="preserve">Klassifikation: ≤0 K Direkt, ≤35 K Std-WP, ≤60 K HT-WP, &gt;60 K ORC</t>
  </si>
  <si>
    <t xml:space="preserve">VDI 4640 Bl.4; Arpagaus 2018; Zühlsdorf 2019</t>
  </si>
  <si>
    <t xml:space="preserve">Jahreswärmemenge</t>
  </si>
  <si>
    <t xml:space="preserve">E_a</t>
  </si>
  <si>
    <t xml:space="preserve">E_a = Q_ges × t_LZ / 1000</t>
  </si>
  <si>
    <t xml:space="preserve">MWh/a</t>
  </si>
  <si>
    <t xml:space="preserve">Q_ges [kW], t_LZ [h/a]</t>
  </si>
  <si>
    <t xml:space="preserve">DeltaT – Live-Berechnungsmodell (Excel-Formeln)</t>
  </si>
  <si>
    <t xml:space="preserve">Blaue Zellen = Eingaben (veränderbar) | Schwarze Zellen = Formeln | Gelb = Schlüsselausgaben</t>
  </si>
  <si>
    <t xml:space="preserve">▌ EINGABEPARAMETER</t>
  </si>
  <si>
    <t xml:space="preserve">Hydr. Leitfähigkeit</t>
  </si>
  <si>
    <t xml:space="preserve">▌ PRIMÄRKREIS</t>
  </si>
  <si>
    <t xml:space="preserve">Temperaturdifferenz</t>
  </si>
  <si>
    <t xml:space="preserve">Therm. Leistung/Dublett</t>
  </si>
  <si>
    <t xml:space="preserve">Tauchpumpenleistung/Dublett</t>
  </si>
  <si>
    <t xml:space="preserve">Thermische Durchbruchszeit</t>
  </si>
  <si>
    <t xml:space="preserve">Opt. Bohrloch-Abstand</t>
  </si>
  <si>
    <t xml:space="preserve">Spez. Wärmeleistung</t>
  </si>
  <si>
    <t xml:space="preserve">▌ SEKUNDÄRKREIS / WÄRMEPUMPE</t>
  </si>
  <si>
    <t xml:space="preserve">Temperaturhub</t>
  </si>
  <si>
    <t xml:space="preserve">COP (Carnot×50%)</t>
  </si>
  <si>
    <t xml:space="preserve">El. Leistung Wärmepumpe</t>
  </si>
  <si>
    <t xml:space="preserve">▌ WÄRMETAUSCHER (LMTD, Gegenstrom)</t>
  </si>
  <si>
    <t xml:space="preserve">ΔT₁ (T_GW − T_VL)</t>
  </si>
  <si>
    <t xml:space="preserve">ΔT₁</t>
  </si>
  <si>
    <t xml:space="preserve">ΔT₂ (T_R − T_RL)</t>
  </si>
  <si>
    <t xml:space="preserve">ΔT₂</t>
  </si>
  <si>
    <t xml:space="preserve">Wärmetauscherfläche</t>
  </si>
  <si>
    <t xml:space="preserve">▌ STATUSAMPEL (Grenzwerte)</t>
  </si>
  <si>
    <t xml:space="preserve">Hydraulik (T-Wert)</t>
  </si>
  <si>
    <t xml:space="preserve">Status</t>
  </si>
  <si>
    <t xml:space="preserve">Durchbruchszeit</t>
  </si>
  <si>
    <t xml:space="preserve">COP Bewertung</t>
  </si>
  <si>
    <t xml:space="preserve">WP-Typ Klassif.</t>
  </si>
  <si>
    <t xml:space="preserve">DeltaT – Literaturquellen &amp; Normen</t>
  </si>
  <si>
    <t xml:space="preserve">Kürzel</t>
  </si>
  <si>
    <t xml:space="preserve">Vollständige Referenz</t>
  </si>
  <si>
    <t xml:space="preserve">Verwendung in Berechnung</t>
  </si>
  <si>
    <t xml:space="preserve">VDI 4640 Bl. 1–4</t>
  </si>
  <si>
    <t xml:space="preserve">VDI-Richtlinie 4640 – Thermische Nutzung des Untergrundes, Bl. 1–4. VDI, Düsseldorf, 2019/2022.</t>
  </si>
  <si>
    <t xml:space="preserve">Transmissivitätsschwellen, Direktnutzung, WP-Auslegung</t>
  </si>
  <si>
    <t xml:space="preserve">DIN EN 14511 – Luftkonditionierer, Flüssigkeitskühlsätze und Wärmepumpen. CEN, 2018.</t>
  </si>
  <si>
    <t xml:space="preserve">COP-Definition, Standard-WP Klassifikation</t>
  </si>
  <si>
    <t xml:space="preserve">Arpagaus et al. 2018</t>
  </si>
  <si>
    <t xml:space="preserve">Arpagaus, C. et al.: High temperature heat pumps. Energy, 152, 985–1010. doi:10.1016/j.energy.2018.03.166</t>
  </si>
  <si>
    <t xml:space="preserve">COP 50% Carnot, HT-WP Klassifikation (Hub 35–60 K)</t>
  </si>
  <si>
    <t xml:space="preserve">Zühlsdorf et al. 2019</t>
  </si>
  <si>
    <t xml:space="preserve">Zühlsdorf, B. et al.: High-temperature heat pumps for industrial processes. JRSE 11(3). doi:10.1063/1.5051244</t>
  </si>
  <si>
    <t xml:space="preserve">Ultra-high lift WP / ORC (Hub &gt;60 K)</t>
  </si>
  <si>
    <t xml:space="preserve">Drost, W.: Methoden der Grundwasserhydrologie. Akademie-Verlag, Berlin, 1978.</t>
  </si>
  <si>
    <t xml:space="preserve">Thermische Durchbruchszeit: t_break = π·n·b·d²/(4·Q)</t>
  </si>
  <si>
    <t xml:space="preserve">Kühn 2012</t>
  </si>
  <si>
    <t xml:space="preserve">Kühn, M. (Hrsg.): Dynamische Speicherung in geothermischen Reservoiren. Springer, 2012.</t>
  </si>
  <si>
    <t xml:space="preserve">Transmissivitätsschwellen T &gt; 10⁻³ m²/s</t>
  </si>
  <si>
    <t xml:space="preserve">Sanner et al. 2003</t>
  </si>
  <si>
    <t xml:space="preserve">Sanner, B. et al.: Ground source heat pumps in Europe. Geothermics 32(4–6), 579–588.</t>
  </si>
  <si>
    <t xml:space="preserve">Wärmeleistungsformel, c_p = 4,18 kJ/(kg·K)</t>
  </si>
  <si>
    <t xml:space="preserve">VDI Wärmeatlas, 12. Aufl., Springer, 2019.</t>
  </si>
  <si>
    <t xml:space="preserve">LMTD-Formel, U-Wert Plattenwärmetauscher 4000 W/(m²·K)</t>
  </si>
  <si>
    <t xml:space="preserve">VDI 2045</t>
  </si>
  <si>
    <t xml:space="preserve">VDI 2045 – Korrosion durch Wasser. VDI, Düsseldorf.</t>
  </si>
  <si>
    <t xml:space="preserve">Werkstoffklassen nach TDS: Edelstahl / Duplex / Titan</t>
  </si>
  <si>
    <t xml:space="preserve">IEA HP Annex 35</t>
  </si>
  <si>
    <t xml:space="preserve">IEA Heat Pump Programme Annex 35 – Application of industrial heat pumps. 2011.</t>
  </si>
  <si>
    <t xml:space="preserve">COP-Realfaktor 50% Carnot</t>
  </si>
</sst>
</file>

<file path=xl/styles.xml><?xml version="1.0" encoding="utf-8"?>
<styleSheet xmlns="http://schemas.openxmlformats.org/spreadsheetml/2006/main">
  <numFmts count="1">
    <numFmt numFmtId="164" formatCode="General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10"/>
      <color rgb="FF5A7398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i val="true"/>
      <sz val="10"/>
      <color rgb="FF0000FF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i val="true"/>
      <sz val="9"/>
      <color rgb="FF6B7280"/>
      <name val="Arial"/>
      <family val="0"/>
      <charset val="1"/>
    </font>
    <font>
      <b val="true"/>
      <i val="true"/>
      <sz val="10"/>
      <color rgb="FF1A3F6F"/>
      <name val="Arial"/>
      <family val="0"/>
      <charset val="1"/>
    </font>
    <font>
      <i val="true"/>
      <sz val="10"/>
      <color rgb="FF000000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0"/>
      <color rgb="FF0D2B55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0D2B55"/>
        <bgColor rgb="FF1A3F6F"/>
      </patternFill>
    </fill>
    <fill>
      <patternFill patternType="solid">
        <fgColor rgb="FF1A3F6F"/>
        <bgColor rgb="FF0D2B55"/>
      </patternFill>
    </fill>
    <fill>
      <patternFill patternType="solid">
        <fgColor rgb="FFFFFFFF"/>
        <bgColor rgb="FFF4F8FD"/>
      </patternFill>
    </fill>
    <fill>
      <patternFill patternType="solid">
        <fgColor rgb="FFF4F8FD"/>
        <bgColor rgb="FFEBF4FA"/>
      </patternFill>
    </fill>
    <fill>
      <patternFill patternType="solid">
        <fgColor rgb="FFFFF3C4"/>
        <bgColor rgb="FFFFFF99"/>
      </patternFill>
    </fill>
    <fill>
      <patternFill patternType="solid">
        <fgColor rgb="FFEBF4FA"/>
        <bgColor rgb="FFF4F8F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4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6B7280"/>
      <rgbColor rgb="FF9999FF"/>
      <rgbColor rgb="FF993366"/>
      <rgbColor rgb="FFFFF3C4"/>
      <rgbColor rgb="FFEBF4F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4F8FD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A7398"/>
      <rgbColor rgb="FF969696"/>
      <rgbColor rgb="FF0D2B55"/>
      <rgbColor rgb="FF339966"/>
      <rgbColor rgb="FF003300"/>
      <rgbColor rgb="FF333300"/>
      <rgbColor rgb="FF993300"/>
      <rgbColor rgb="FF993366"/>
      <rgbColor rgb="FF1A3F6F"/>
      <rgbColor rgb="FF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1.xml"/><Relationship Id="rId7" Type="http://schemas.openxmlformats.org/officeDocument/2006/relationships/sharedStrings" Target="sharedStrings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worksheet" Target="worksheets/sheet4.xml"/><Relationship Id="rId5" Type="http://schemas.openxmlformats.org/officeDocument/2006/relationships/worksheet" Target="worksheets/sheet3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2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2"/>
    <col collapsed="false" customWidth="true" hidden="false" outlineLevel="0" max="3" min="3" style="0" width="10"/>
    <col collapsed="false" customWidth="true" hidden="false" outlineLevel="0" max="4" min="4" style="0" width="16"/>
    <col collapsed="false" customWidth="true" hidden="false" outlineLevel="0" max="5" min="5" style="0" width="10"/>
    <col collapsed="false" customWidth="true" hidden="false" outlineLevel="0" max="6" min="6" style="0" width="22"/>
    <col collapsed="false" customWidth="true" hidden="false" outlineLevel="0" max="7" min="7" style="0" width="60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3" customFormat="false" ht="7.5" hidden="false" customHeight="true" outlineLevel="0" collapsed="false"/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customFormat="false" ht="36" hidden="false" customHeight="true" outlineLevel="0" collapsed="false">
      <c r="A5" s="4" t="n">
        <v>1</v>
      </c>
      <c r="B5" s="5" t="s">
        <v>9</v>
      </c>
      <c r="C5" s="6" t="s">
        <v>10</v>
      </c>
      <c r="D5" s="7" t="n">
        <v>500</v>
      </c>
      <c r="E5" s="4" t="s">
        <v>11</v>
      </c>
      <c r="F5" s="4" t="s">
        <v>12</v>
      </c>
      <c r="G5" s="8" t="s">
        <v>13</v>
      </c>
    </row>
    <row r="6" customFormat="false" ht="36" hidden="false" customHeight="true" outlineLevel="0" collapsed="false">
      <c r="A6" s="9" t="n">
        <v>2</v>
      </c>
      <c r="B6" s="10" t="s">
        <v>14</v>
      </c>
      <c r="C6" s="11" t="s">
        <v>15</v>
      </c>
      <c r="D6" s="12" t="n">
        <v>40</v>
      </c>
      <c r="E6" s="9" t="s">
        <v>11</v>
      </c>
      <c r="F6" s="9" t="s">
        <v>16</v>
      </c>
      <c r="G6" s="13" t="s">
        <v>17</v>
      </c>
    </row>
    <row r="7" customFormat="false" ht="36" hidden="false" customHeight="true" outlineLevel="0" collapsed="false">
      <c r="A7" s="4" t="n">
        <v>3</v>
      </c>
      <c r="B7" s="5" t="s">
        <v>18</v>
      </c>
      <c r="C7" s="6" t="s">
        <v>19</v>
      </c>
      <c r="D7" s="7" t="n">
        <v>0.0001</v>
      </c>
      <c r="E7" s="4" t="s">
        <v>20</v>
      </c>
      <c r="F7" s="4" t="s">
        <v>21</v>
      </c>
      <c r="G7" s="8" t="s">
        <v>22</v>
      </c>
    </row>
    <row r="8" customFormat="false" ht="36" hidden="false" customHeight="true" outlineLevel="0" collapsed="false">
      <c r="A8" s="9" t="n">
        <v>4</v>
      </c>
      <c r="B8" s="10" t="s">
        <v>23</v>
      </c>
      <c r="C8" s="11" t="s">
        <v>24</v>
      </c>
      <c r="D8" s="12" t="n">
        <v>16</v>
      </c>
      <c r="E8" s="9" t="s">
        <v>25</v>
      </c>
      <c r="F8" s="9" t="s">
        <v>26</v>
      </c>
      <c r="G8" s="13" t="s">
        <v>27</v>
      </c>
    </row>
    <row r="9" customFormat="false" ht="36" hidden="false" customHeight="true" outlineLevel="0" collapsed="false">
      <c r="A9" s="4" t="n">
        <v>5</v>
      </c>
      <c r="B9" s="5" t="s">
        <v>28</v>
      </c>
      <c r="C9" s="6" t="s">
        <v>29</v>
      </c>
      <c r="D9" s="7" t="n">
        <v>500</v>
      </c>
      <c r="E9" s="4" t="s">
        <v>30</v>
      </c>
      <c r="F9" s="4" t="s">
        <v>31</v>
      </c>
      <c r="G9" s="8" t="s">
        <v>32</v>
      </c>
    </row>
    <row r="10" customFormat="false" ht="36" hidden="false" customHeight="true" outlineLevel="0" collapsed="false">
      <c r="A10" s="9" t="n">
        <v>6</v>
      </c>
      <c r="B10" s="10" t="s">
        <v>33</v>
      </c>
      <c r="C10" s="11" t="s">
        <v>34</v>
      </c>
      <c r="D10" s="12" t="n">
        <v>15</v>
      </c>
      <c r="E10" s="9" t="s">
        <v>35</v>
      </c>
      <c r="F10" s="9" t="s">
        <v>36</v>
      </c>
      <c r="G10" s="13" t="s">
        <v>37</v>
      </c>
    </row>
    <row r="11" customFormat="false" ht="36" hidden="false" customHeight="true" outlineLevel="0" collapsed="false">
      <c r="A11" s="4" t="n">
        <v>7</v>
      </c>
      <c r="B11" s="5" t="s">
        <v>38</v>
      </c>
      <c r="C11" s="6" t="s">
        <v>39</v>
      </c>
      <c r="D11" s="7" t="n">
        <v>12</v>
      </c>
      <c r="E11" s="4" t="s">
        <v>25</v>
      </c>
      <c r="F11" s="4" t="s">
        <v>40</v>
      </c>
      <c r="G11" s="8" t="s">
        <v>41</v>
      </c>
    </row>
    <row r="12" customFormat="false" ht="36" hidden="false" customHeight="true" outlineLevel="0" collapsed="false">
      <c r="A12" s="9" t="n">
        <v>8</v>
      </c>
      <c r="B12" s="10" t="s">
        <v>42</v>
      </c>
      <c r="C12" s="11" t="s">
        <v>43</v>
      </c>
      <c r="D12" s="12" t="n">
        <v>100</v>
      </c>
      <c r="E12" s="9" t="s">
        <v>11</v>
      </c>
      <c r="F12" s="9" t="s">
        <v>44</v>
      </c>
      <c r="G12" s="13" t="s">
        <v>45</v>
      </c>
    </row>
    <row r="13" customFormat="false" ht="36" hidden="false" customHeight="true" outlineLevel="0" collapsed="false">
      <c r="A13" s="4" t="n">
        <v>9</v>
      </c>
      <c r="B13" s="5" t="s">
        <v>46</v>
      </c>
      <c r="C13" s="6" t="s">
        <v>47</v>
      </c>
      <c r="D13" s="7" t="n">
        <v>5000</v>
      </c>
      <c r="E13" s="4" t="s">
        <v>48</v>
      </c>
      <c r="F13" s="4" t="s">
        <v>49</v>
      </c>
      <c r="G13" s="8" t="s">
        <v>50</v>
      </c>
    </row>
    <row r="14" customFormat="false" ht="36" hidden="false" customHeight="true" outlineLevel="0" collapsed="false">
      <c r="A14" s="9" t="n">
        <v>10</v>
      </c>
      <c r="B14" s="10" t="s">
        <v>51</v>
      </c>
      <c r="C14" s="11" t="s">
        <v>52</v>
      </c>
      <c r="D14" s="12" t="n">
        <v>90</v>
      </c>
      <c r="E14" s="9" t="s">
        <v>25</v>
      </c>
      <c r="F14" s="9" t="s">
        <v>53</v>
      </c>
      <c r="G14" s="13" t="s">
        <v>54</v>
      </c>
    </row>
    <row r="15" customFormat="false" ht="36" hidden="false" customHeight="true" outlineLevel="0" collapsed="false">
      <c r="A15" s="4" t="n">
        <v>11</v>
      </c>
      <c r="B15" s="5" t="s">
        <v>55</v>
      </c>
      <c r="C15" s="6" t="s">
        <v>56</v>
      </c>
      <c r="D15" s="7" t="n">
        <v>55</v>
      </c>
      <c r="E15" s="4" t="s">
        <v>25</v>
      </c>
      <c r="F15" s="4" t="s">
        <v>57</v>
      </c>
      <c r="G15" s="8" t="s">
        <v>58</v>
      </c>
    </row>
    <row r="16" customFormat="false" ht="36" hidden="false" customHeight="true" outlineLevel="0" collapsed="false">
      <c r="A16" s="9" t="n">
        <v>12</v>
      </c>
      <c r="B16" s="10" t="s">
        <v>59</v>
      </c>
      <c r="C16" s="11" t="s">
        <v>60</v>
      </c>
      <c r="D16" s="12" t="n">
        <v>2000</v>
      </c>
      <c r="E16" s="9" t="s">
        <v>61</v>
      </c>
      <c r="F16" s="9" t="s">
        <v>62</v>
      </c>
      <c r="G16" s="13" t="s">
        <v>63</v>
      </c>
    </row>
    <row r="18" customFormat="false" ht="15" hidden="false" customHeight="false" outlineLevel="0" collapsed="false">
      <c r="A18" s="14" t="s">
        <v>64</v>
      </c>
      <c r="B18" s="14"/>
      <c r="C18" s="14"/>
      <c r="D18" s="14"/>
      <c r="E18" s="14"/>
      <c r="F18" s="14"/>
      <c r="G18" s="14"/>
    </row>
  </sheetData>
  <mergeCells count="3">
    <mergeCell ref="A1:G1"/>
    <mergeCell ref="A2:G2"/>
    <mergeCell ref="A18:G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0"/>
    <col collapsed="false" customWidth="true" hidden="false" outlineLevel="0" max="3" min="3" style="0" width="10"/>
    <col collapsed="false" customWidth="true" hidden="false" outlineLevel="0" max="4" min="4" style="0" width="38"/>
    <col collapsed="false" customWidth="true" hidden="false" outlineLevel="0" max="5" min="5" style="0" width="10"/>
    <col collapsed="false" customWidth="true" hidden="false" outlineLevel="0" max="6" min="6" style="0" width="28"/>
    <col collapsed="false" customWidth="true" hidden="false" outlineLevel="0" max="7" min="7" style="0" width="38"/>
    <col collapsed="false" customWidth="true" hidden="false" outlineLevel="0" max="8" min="8" style="0" width="32"/>
  </cols>
  <sheetData>
    <row r="1" customFormat="false" ht="31.5" hidden="false" customHeight="true" outlineLevel="0" collapsed="false">
      <c r="A1" s="1" t="s">
        <v>65</v>
      </c>
      <c r="B1" s="1"/>
      <c r="C1" s="1"/>
      <c r="D1" s="1"/>
      <c r="E1" s="1"/>
      <c r="F1" s="1"/>
      <c r="G1" s="1"/>
      <c r="H1" s="1"/>
    </row>
    <row r="2" customFormat="false" ht="18" hidden="false" customHeight="true" outlineLevel="0" collapsed="false">
      <c r="A2" s="2" t="s">
        <v>66</v>
      </c>
      <c r="B2" s="2"/>
      <c r="C2" s="2"/>
      <c r="D2" s="2"/>
      <c r="E2" s="2"/>
      <c r="F2" s="2"/>
      <c r="G2" s="2"/>
      <c r="H2" s="2"/>
    </row>
    <row r="3" customFormat="false" ht="7.5" hidden="false" customHeight="true" outlineLevel="0" collapsed="false"/>
    <row r="4" customFormat="false" ht="15" hidden="false" customHeight="false" outlineLevel="0" collapsed="false">
      <c r="A4" s="3" t="s">
        <v>2</v>
      </c>
      <c r="B4" s="3" t="s">
        <v>67</v>
      </c>
      <c r="C4" s="3" t="s">
        <v>4</v>
      </c>
      <c r="D4" s="3" t="s">
        <v>68</v>
      </c>
      <c r="E4" s="3" t="s">
        <v>6</v>
      </c>
      <c r="F4" s="3" t="s">
        <v>69</v>
      </c>
      <c r="G4" s="3" t="s">
        <v>70</v>
      </c>
      <c r="H4" s="3" t="s">
        <v>71</v>
      </c>
    </row>
    <row r="5" customFormat="false" ht="42" hidden="false" customHeight="true" outlineLevel="0" collapsed="false">
      <c r="A5" s="4" t="n">
        <v>1</v>
      </c>
      <c r="B5" s="15" t="s">
        <v>72</v>
      </c>
      <c r="C5" s="16" t="s">
        <v>73</v>
      </c>
      <c r="D5" s="17" t="s">
        <v>74</v>
      </c>
      <c r="E5" s="4" t="s">
        <v>75</v>
      </c>
      <c r="F5" s="8" t="s">
        <v>76</v>
      </c>
      <c r="G5" s="18" t="s">
        <v>77</v>
      </c>
      <c r="H5" s="18" t="s">
        <v>78</v>
      </c>
    </row>
    <row r="6" customFormat="false" ht="42" hidden="false" customHeight="true" outlineLevel="0" collapsed="false">
      <c r="A6" s="9" t="n">
        <v>2</v>
      </c>
      <c r="B6" s="19" t="s">
        <v>79</v>
      </c>
      <c r="C6" s="20" t="s">
        <v>80</v>
      </c>
      <c r="D6" s="17" t="s">
        <v>81</v>
      </c>
      <c r="E6" s="9" t="s">
        <v>82</v>
      </c>
      <c r="F6" s="13" t="s">
        <v>83</v>
      </c>
      <c r="G6" s="21" t="s">
        <v>77</v>
      </c>
      <c r="H6" s="21" t="s">
        <v>84</v>
      </c>
    </row>
    <row r="7" customFormat="false" ht="42" hidden="false" customHeight="true" outlineLevel="0" collapsed="false">
      <c r="A7" s="4" t="n">
        <v>3</v>
      </c>
      <c r="B7" s="15" t="s">
        <v>85</v>
      </c>
      <c r="C7" s="16" t="s">
        <v>86</v>
      </c>
      <c r="D7" s="17" t="s">
        <v>87</v>
      </c>
      <c r="E7" s="4" t="s">
        <v>48</v>
      </c>
      <c r="F7" s="8" t="s">
        <v>88</v>
      </c>
      <c r="G7" s="18" t="s">
        <v>89</v>
      </c>
      <c r="H7" s="18" t="s">
        <v>90</v>
      </c>
    </row>
    <row r="8" customFormat="false" ht="42" hidden="false" customHeight="true" outlineLevel="0" collapsed="false">
      <c r="A8" s="9" t="n">
        <v>4</v>
      </c>
      <c r="B8" s="19" t="s">
        <v>91</v>
      </c>
      <c r="C8" s="20" t="s">
        <v>92</v>
      </c>
      <c r="D8" s="17" t="s">
        <v>93</v>
      </c>
      <c r="E8" s="9" t="s">
        <v>77</v>
      </c>
      <c r="F8" s="13" t="s">
        <v>94</v>
      </c>
      <c r="G8" s="21" t="s">
        <v>95</v>
      </c>
      <c r="H8" s="21" t="s">
        <v>77</v>
      </c>
    </row>
    <row r="9" customFormat="false" ht="42" hidden="false" customHeight="true" outlineLevel="0" collapsed="false">
      <c r="A9" s="4" t="n">
        <v>5</v>
      </c>
      <c r="B9" s="15" t="s">
        <v>96</v>
      </c>
      <c r="C9" s="16" t="s">
        <v>97</v>
      </c>
      <c r="D9" s="17" t="s">
        <v>98</v>
      </c>
      <c r="E9" s="4" t="s">
        <v>48</v>
      </c>
      <c r="F9" s="8" t="s">
        <v>99</v>
      </c>
      <c r="G9" s="18" t="s">
        <v>77</v>
      </c>
      <c r="H9" s="18" t="s">
        <v>77</v>
      </c>
    </row>
    <row r="10" customFormat="false" ht="42" hidden="false" customHeight="true" outlineLevel="0" collapsed="false">
      <c r="A10" s="9" t="n">
        <v>6</v>
      </c>
      <c r="B10" s="19" t="s">
        <v>100</v>
      </c>
      <c r="C10" s="20" t="s">
        <v>101</v>
      </c>
      <c r="D10" s="17" t="s">
        <v>102</v>
      </c>
      <c r="E10" s="9" t="s">
        <v>35</v>
      </c>
      <c r="F10" s="13" t="s">
        <v>103</v>
      </c>
      <c r="G10" s="21" t="s">
        <v>77</v>
      </c>
      <c r="H10" s="21" t="s">
        <v>77</v>
      </c>
    </row>
    <row r="11" customFormat="false" ht="42" hidden="false" customHeight="true" outlineLevel="0" collapsed="false">
      <c r="A11" s="4" t="n">
        <v>7</v>
      </c>
      <c r="B11" s="15" t="s">
        <v>104</v>
      </c>
      <c r="C11" s="16" t="s">
        <v>105</v>
      </c>
      <c r="D11" s="17" t="s">
        <v>106</v>
      </c>
      <c r="E11" s="4" t="s">
        <v>48</v>
      </c>
      <c r="F11" s="8" t="s">
        <v>107</v>
      </c>
      <c r="G11" s="18" t="s">
        <v>108</v>
      </c>
      <c r="H11" s="18" t="s">
        <v>109</v>
      </c>
    </row>
    <row r="12" customFormat="false" ht="42" hidden="false" customHeight="true" outlineLevel="0" collapsed="false">
      <c r="A12" s="9" t="n">
        <v>8</v>
      </c>
      <c r="B12" s="19" t="s">
        <v>110</v>
      </c>
      <c r="C12" s="20" t="s">
        <v>111</v>
      </c>
      <c r="D12" s="17" t="s">
        <v>112</v>
      </c>
      <c r="E12" s="9" t="s">
        <v>113</v>
      </c>
      <c r="F12" s="13" t="s">
        <v>114</v>
      </c>
      <c r="G12" s="21" t="s">
        <v>115</v>
      </c>
      <c r="H12" s="21" t="s">
        <v>116</v>
      </c>
    </row>
    <row r="13" customFormat="false" ht="42" hidden="false" customHeight="true" outlineLevel="0" collapsed="false">
      <c r="A13" s="4" t="n">
        <v>9</v>
      </c>
      <c r="B13" s="15" t="s">
        <v>117</v>
      </c>
      <c r="C13" s="16" t="s">
        <v>118</v>
      </c>
      <c r="D13" s="17" t="s">
        <v>119</v>
      </c>
      <c r="E13" s="4" t="s">
        <v>11</v>
      </c>
      <c r="F13" s="8" t="s">
        <v>120</v>
      </c>
      <c r="G13" s="18" t="s">
        <v>121</v>
      </c>
      <c r="H13" s="18" t="s">
        <v>116</v>
      </c>
    </row>
    <row r="14" customFormat="false" ht="42" hidden="false" customHeight="true" outlineLevel="0" collapsed="false">
      <c r="A14" s="9" t="n">
        <v>10</v>
      </c>
      <c r="B14" s="19" t="s">
        <v>122</v>
      </c>
      <c r="C14" s="20" t="s">
        <v>123</v>
      </c>
      <c r="D14" s="17" t="s">
        <v>124</v>
      </c>
      <c r="E14" s="9" t="s">
        <v>125</v>
      </c>
      <c r="F14" s="13" t="s">
        <v>126</v>
      </c>
      <c r="G14" s="21" t="s">
        <v>77</v>
      </c>
      <c r="H14" s="21" t="s">
        <v>127</v>
      </c>
    </row>
    <row r="15" customFormat="false" ht="42" hidden="false" customHeight="true" outlineLevel="0" collapsed="false">
      <c r="A15" s="4" t="n">
        <v>11</v>
      </c>
      <c r="B15" s="15" t="s">
        <v>128</v>
      </c>
      <c r="C15" s="16" t="s">
        <v>129</v>
      </c>
      <c r="D15" s="17" t="s">
        <v>130</v>
      </c>
      <c r="E15" s="4" t="s">
        <v>77</v>
      </c>
      <c r="F15" s="8" t="s">
        <v>131</v>
      </c>
      <c r="G15" s="18" t="s">
        <v>132</v>
      </c>
      <c r="H15" s="18" t="s">
        <v>133</v>
      </c>
    </row>
    <row r="16" customFormat="false" ht="42" hidden="false" customHeight="true" outlineLevel="0" collapsed="false">
      <c r="A16" s="9" t="n">
        <v>12</v>
      </c>
      <c r="B16" s="19" t="s">
        <v>134</v>
      </c>
      <c r="C16" s="20" t="s">
        <v>135</v>
      </c>
      <c r="D16" s="17" t="s">
        <v>136</v>
      </c>
      <c r="E16" s="9" t="s">
        <v>48</v>
      </c>
      <c r="F16" s="13" t="s">
        <v>137</v>
      </c>
      <c r="G16" s="21" t="s">
        <v>138</v>
      </c>
      <c r="H16" s="21" t="s">
        <v>139</v>
      </c>
    </row>
    <row r="17" customFormat="false" ht="42" hidden="false" customHeight="true" outlineLevel="0" collapsed="false">
      <c r="A17" s="4" t="n">
        <v>13</v>
      </c>
      <c r="B17" s="15" t="s">
        <v>140</v>
      </c>
      <c r="C17" s="16" t="s">
        <v>141</v>
      </c>
      <c r="D17" s="17" t="s">
        <v>142</v>
      </c>
      <c r="E17" s="4" t="s">
        <v>82</v>
      </c>
      <c r="F17" s="8" t="s">
        <v>143</v>
      </c>
      <c r="G17" s="18" t="s">
        <v>144</v>
      </c>
      <c r="H17" s="18" t="s">
        <v>145</v>
      </c>
    </row>
    <row r="18" customFormat="false" ht="42" hidden="false" customHeight="true" outlineLevel="0" collapsed="false">
      <c r="A18" s="9" t="n">
        <v>14</v>
      </c>
      <c r="B18" s="19" t="s">
        <v>146</v>
      </c>
      <c r="C18" s="20" t="s">
        <v>147</v>
      </c>
      <c r="D18" s="17" t="s">
        <v>148</v>
      </c>
      <c r="E18" s="9" t="s">
        <v>149</v>
      </c>
      <c r="F18" s="13" t="s">
        <v>150</v>
      </c>
      <c r="G18" s="21" t="s">
        <v>151</v>
      </c>
      <c r="H18" s="21" t="s">
        <v>145</v>
      </c>
    </row>
    <row r="19" customFormat="false" ht="42" hidden="false" customHeight="true" outlineLevel="0" collapsed="false">
      <c r="A19" s="4" t="n">
        <v>15</v>
      </c>
      <c r="B19" s="15" t="s">
        <v>152</v>
      </c>
      <c r="C19" s="16" t="s">
        <v>153</v>
      </c>
      <c r="D19" s="17" t="s">
        <v>154</v>
      </c>
      <c r="E19" s="4" t="s">
        <v>82</v>
      </c>
      <c r="F19" s="8" t="s">
        <v>155</v>
      </c>
      <c r="G19" s="18" t="s">
        <v>156</v>
      </c>
      <c r="H19" s="18" t="s">
        <v>157</v>
      </c>
    </row>
    <row r="20" customFormat="false" ht="42" hidden="false" customHeight="true" outlineLevel="0" collapsed="false">
      <c r="A20" s="9" t="n">
        <v>16</v>
      </c>
      <c r="B20" s="19" t="s">
        <v>158</v>
      </c>
      <c r="C20" s="20" t="s">
        <v>159</v>
      </c>
      <c r="D20" s="17" t="s">
        <v>160</v>
      </c>
      <c r="E20" s="9" t="s">
        <v>161</v>
      </c>
      <c r="F20" s="13" t="s">
        <v>162</v>
      </c>
      <c r="G20" s="21" t="s">
        <v>77</v>
      </c>
      <c r="H20" s="21" t="s">
        <v>77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4"/>
    <col collapsed="false" customWidth="true" hidden="false" outlineLevel="0" max="3" min="3" style="0" width="18"/>
    <col collapsed="false" customWidth="true" hidden="false" outlineLevel="0" max="4" min="4" style="0" width="20"/>
  </cols>
  <sheetData>
    <row r="1" customFormat="false" ht="31.5" hidden="false" customHeight="true" outlineLevel="0" collapsed="false">
      <c r="A1" s="1" t="s">
        <v>163</v>
      </c>
      <c r="B1" s="1"/>
      <c r="C1" s="1"/>
      <c r="D1" s="1"/>
    </row>
    <row r="2" customFormat="false" ht="18" hidden="false" customHeight="true" outlineLevel="0" collapsed="false">
      <c r="A2" s="2" t="s">
        <v>164</v>
      </c>
      <c r="B2" s="2"/>
      <c r="C2" s="2"/>
      <c r="D2" s="2"/>
    </row>
    <row r="3" customFormat="false" ht="7.5" hidden="false" customHeight="true" outlineLevel="0" collapsed="false"/>
    <row r="4" customFormat="false" ht="21.75" hidden="false" customHeight="true" outlineLevel="0" collapsed="false">
      <c r="A4" s="22" t="s">
        <v>165</v>
      </c>
      <c r="B4" s="22"/>
      <c r="C4" s="22"/>
      <c r="D4" s="22"/>
    </row>
    <row r="5" customFormat="false" ht="19.5" hidden="false" customHeight="true" outlineLevel="0" collapsed="false">
      <c r="A5" s="5" t="s">
        <v>9</v>
      </c>
      <c r="B5" s="6" t="s">
        <v>10</v>
      </c>
      <c r="C5" s="23" t="n">
        <v>500</v>
      </c>
      <c r="D5" s="24" t="s">
        <v>11</v>
      </c>
    </row>
    <row r="6" customFormat="false" ht="19.5" hidden="false" customHeight="true" outlineLevel="0" collapsed="false">
      <c r="A6" s="5" t="s">
        <v>14</v>
      </c>
      <c r="B6" s="6" t="s">
        <v>15</v>
      </c>
      <c r="C6" s="23" t="n">
        <v>40</v>
      </c>
      <c r="D6" s="24" t="s">
        <v>11</v>
      </c>
    </row>
    <row r="7" customFormat="false" ht="19.5" hidden="false" customHeight="true" outlineLevel="0" collapsed="false">
      <c r="A7" s="5" t="s">
        <v>166</v>
      </c>
      <c r="B7" s="6" t="s">
        <v>19</v>
      </c>
      <c r="C7" s="23" t="n">
        <v>0.0001</v>
      </c>
      <c r="D7" s="24" t="s">
        <v>20</v>
      </c>
    </row>
    <row r="8" customFormat="false" ht="19.5" hidden="false" customHeight="true" outlineLevel="0" collapsed="false">
      <c r="A8" s="5" t="s">
        <v>23</v>
      </c>
      <c r="B8" s="6" t="s">
        <v>24</v>
      </c>
      <c r="C8" s="23" t="n">
        <v>16</v>
      </c>
      <c r="D8" s="24" t="s">
        <v>25</v>
      </c>
    </row>
    <row r="9" customFormat="false" ht="19.5" hidden="false" customHeight="true" outlineLevel="0" collapsed="false">
      <c r="A9" s="5" t="s">
        <v>28</v>
      </c>
      <c r="B9" s="6" t="s">
        <v>29</v>
      </c>
      <c r="C9" s="23" t="n">
        <v>500</v>
      </c>
      <c r="D9" s="24" t="s">
        <v>30</v>
      </c>
    </row>
    <row r="10" customFormat="false" ht="19.5" hidden="false" customHeight="true" outlineLevel="0" collapsed="false">
      <c r="A10" s="5" t="s">
        <v>33</v>
      </c>
      <c r="B10" s="6" t="s">
        <v>34</v>
      </c>
      <c r="C10" s="23" t="n">
        <v>15</v>
      </c>
      <c r="D10" s="24" t="s">
        <v>35</v>
      </c>
    </row>
    <row r="11" customFormat="false" ht="19.5" hidden="false" customHeight="true" outlineLevel="0" collapsed="false">
      <c r="A11" s="5" t="s">
        <v>38</v>
      </c>
      <c r="B11" s="6" t="s">
        <v>39</v>
      </c>
      <c r="C11" s="23" t="n">
        <v>12</v>
      </c>
      <c r="D11" s="24" t="s">
        <v>25</v>
      </c>
    </row>
    <row r="12" customFormat="false" ht="19.5" hidden="false" customHeight="true" outlineLevel="0" collapsed="false">
      <c r="A12" s="5" t="s">
        <v>42</v>
      </c>
      <c r="B12" s="6" t="s">
        <v>43</v>
      </c>
      <c r="C12" s="23" t="n">
        <v>100</v>
      </c>
      <c r="D12" s="24" t="s">
        <v>11</v>
      </c>
    </row>
    <row r="13" customFormat="false" ht="19.5" hidden="false" customHeight="true" outlineLevel="0" collapsed="false">
      <c r="A13" s="5" t="s">
        <v>46</v>
      </c>
      <c r="B13" s="6" t="s">
        <v>47</v>
      </c>
      <c r="C13" s="23" t="n">
        <v>5000</v>
      </c>
      <c r="D13" s="24" t="s">
        <v>48</v>
      </c>
    </row>
    <row r="14" customFormat="false" ht="19.5" hidden="false" customHeight="true" outlineLevel="0" collapsed="false">
      <c r="A14" s="5" t="s">
        <v>51</v>
      </c>
      <c r="B14" s="6" t="s">
        <v>52</v>
      </c>
      <c r="C14" s="23" t="n">
        <v>90</v>
      </c>
      <c r="D14" s="24" t="s">
        <v>25</v>
      </c>
    </row>
    <row r="15" customFormat="false" ht="19.5" hidden="false" customHeight="true" outlineLevel="0" collapsed="false">
      <c r="A15" s="5" t="s">
        <v>55</v>
      </c>
      <c r="B15" s="6" t="s">
        <v>56</v>
      </c>
      <c r="C15" s="23" t="n">
        <v>55</v>
      </c>
      <c r="D15" s="24" t="s">
        <v>25</v>
      </c>
    </row>
    <row r="16" customFormat="false" ht="19.5" hidden="false" customHeight="true" outlineLevel="0" collapsed="false">
      <c r="A16" s="5" t="s">
        <v>59</v>
      </c>
      <c r="B16" s="6" t="s">
        <v>60</v>
      </c>
      <c r="C16" s="23" t="n">
        <v>2000</v>
      </c>
      <c r="D16" s="24" t="s">
        <v>61</v>
      </c>
    </row>
    <row r="17" customFormat="false" ht="15" hidden="false" customHeight="false" outlineLevel="0" collapsed="false">
      <c r="A17" s="25"/>
      <c r="B17" s="25"/>
      <c r="C17" s="25"/>
      <c r="D17" s="25"/>
    </row>
    <row r="18" customFormat="false" ht="21.75" hidden="false" customHeight="true" outlineLevel="0" collapsed="false">
      <c r="A18" s="22" t="s">
        <v>167</v>
      </c>
      <c r="B18" s="22"/>
      <c r="C18" s="22"/>
      <c r="D18" s="22"/>
    </row>
    <row r="19" customFormat="false" ht="19.5" hidden="false" customHeight="true" outlineLevel="0" collapsed="false">
      <c r="A19" s="26" t="s">
        <v>72</v>
      </c>
      <c r="B19" s="20" t="s">
        <v>73</v>
      </c>
      <c r="C19" s="27" t="n">
        <f aca="false">C7*C6</f>
        <v>0.004</v>
      </c>
      <c r="D19" s="26" t="s">
        <v>75</v>
      </c>
    </row>
    <row r="20" customFormat="false" ht="19.5" hidden="false" customHeight="true" outlineLevel="0" collapsed="false">
      <c r="A20" s="26" t="s">
        <v>168</v>
      </c>
      <c r="B20" s="20" t="s">
        <v>80</v>
      </c>
      <c r="C20" s="27" t="n">
        <f aca="false">C8-C11</f>
        <v>4</v>
      </c>
      <c r="D20" s="26" t="s">
        <v>82</v>
      </c>
    </row>
    <row r="21" customFormat="false" ht="19.5" hidden="false" customHeight="true" outlineLevel="0" collapsed="false">
      <c r="A21" s="28" t="s">
        <v>169</v>
      </c>
      <c r="B21" s="29" t="s">
        <v>86</v>
      </c>
      <c r="C21" s="30" t="n">
        <f aca="false">C10*C20*4.18</f>
        <v>250.8</v>
      </c>
      <c r="D21" s="28" t="s">
        <v>48</v>
      </c>
    </row>
    <row r="22" customFormat="false" ht="19.5" hidden="false" customHeight="true" outlineLevel="0" collapsed="false">
      <c r="A22" s="28" t="s">
        <v>91</v>
      </c>
      <c r="B22" s="29" t="s">
        <v>92</v>
      </c>
      <c r="C22" s="30" t="n">
        <f aca="false">CEILING(C13/C21,1)</f>
        <v>20</v>
      </c>
      <c r="D22" s="28" t="s">
        <v>77</v>
      </c>
    </row>
    <row r="23" customFormat="false" ht="19.5" hidden="false" customHeight="true" outlineLevel="0" collapsed="false">
      <c r="A23" s="28" t="s">
        <v>96</v>
      </c>
      <c r="B23" s="29" t="s">
        <v>97</v>
      </c>
      <c r="C23" s="30" t="n">
        <f aca="false">C22*C21</f>
        <v>5016</v>
      </c>
      <c r="D23" s="28" t="s">
        <v>48</v>
      </c>
    </row>
    <row r="24" customFormat="false" ht="19.5" hidden="false" customHeight="true" outlineLevel="0" collapsed="false">
      <c r="A24" s="26" t="s">
        <v>100</v>
      </c>
      <c r="B24" s="20" t="s">
        <v>101</v>
      </c>
      <c r="C24" s="27" t="n">
        <f aca="false">C22*C10</f>
        <v>300</v>
      </c>
      <c r="D24" s="26" t="s">
        <v>35</v>
      </c>
    </row>
    <row r="25" customFormat="false" ht="19.5" hidden="false" customHeight="true" outlineLevel="0" collapsed="false">
      <c r="A25" s="26" t="s">
        <v>170</v>
      </c>
      <c r="B25" s="20" t="s">
        <v>105</v>
      </c>
      <c r="C25" s="27" t="n">
        <f aca="false">(C10/1000)*1000*9.81*C5/(0.6*1000)</f>
        <v>122.625</v>
      </c>
      <c r="D25" s="26" t="s">
        <v>48</v>
      </c>
    </row>
    <row r="26" customFormat="false" ht="19.5" hidden="false" customHeight="true" outlineLevel="0" collapsed="false">
      <c r="A26" s="28" t="s">
        <v>171</v>
      </c>
      <c r="B26" s="29" t="s">
        <v>111</v>
      </c>
      <c r="C26" s="30" t="n">
        <f aca="false">(PI()*0.25*C6*C12^2)/(4*(C10/1000))/(365*24*3600)</f>
        <v>0.166032082571759</v>
      </c>
      <c r="D26" s="28" t="s">
        <v>113</v>
      </c>
    </row>
    <row r="27" customFormat="false" ht="19.5" hidden="false" customHeight="true" outlineLevel="0" collapsed="false">
      <c r="A27" s="26" t="s">
        <v>172</v>
      </c>
      <c r="B27" s="20" t="s">
        <v>118</v>
      </c>
      <c r="C27" s="27" t="n">
        <f aca="false">SQRT((4*(C10/1000)*25*365*86400)/(PI()*0.25*C6))</f>
        <v>1227.08316164953</v>
      </c>
      <c r="D27" s="26" t="s">
        <v>11</v>
      </c>
    </row>
    <row r="28" customFormat="false" ht="19.5" hidden="false" customHeight="true" outlineLevel="0" collapsed="false">
      <c r="A28" s="26" t="s">
        <v>173</v>
      </c>
      <c r="B28" s="20" t="s">
        <v>123</v>
      </c>
      <c r="C28" s="27" t="n">
        <f aca="false">C21*1000/C5</f>
        <v>501.6</v>
      </c>
      <c r="D28" s="26" t="s">
        <v>125</v>
      </c>
    </row>
    <row r="29" customFormat="false" ht="19.5" hidden="false" customHeight="true" outlineLevel="0" collapsed="false">
      <c r="A29" s="28" t="s">
        <v>158</v>
      </c>
      <c r="B29" s="29" t="s">
        <v>159</v>
      </c>
      <c r="C29" s="30" t="n">
        <f aca="false">C23*C16/1000</f>
        <v>10032</v>
      </c>
      <c r="D29" s="28" t="s">
        <v>161</v>
      </c>
    </row>
    <row r="30" customFormat="false" ht="15" hidden="false" customHeight="false" outlineLevel="0" collapsed="false">
      <c r="A30" s="25"/>
      <c r="B30" s="25"/>
      <c r="C30" s="25"/>
      <c r="D30" s="25"/>
    </row>
    <row r="31" customFormat="false" ht="21.75" hidden="false" customHeight="true" outlineLevel="0" collapsed="false">
      <c r="A31" s="22" t="s">
        <v>174</v>
      </c>
      <c r="B31" s="22"/>
      <c r="C31" s="22"/>
      <c r="D31" s="22"/>
    </row>
    <row r="32" customFormat="false" ht="19.5" hidden="false" customHeight="true" outlineLevel="0" collapsed="false">
      <c r="A32" s="28" t="s">
        <v>175</v>
      </c>
      <c r="B32" s="29" t="s">
        <v>153</v>
      </c>
      <c r="C32" s="30" t="n">
        <f aca="false">C14-C8</f>
        <v>74</v>
      </c>
      <c r="D32" s="28" t="s">
        <v>82</v>
      </c>
    </row>
    <row r="33" customFormat="false" ht="19.5" hidden="false" customHeight="true" outlineLevel="0" collapsed="false">
      <c r="A33" s="28" t="s">
        <v>176</v>
      </c>
      <c r="B33" s="29" t="s">
        <v>129</v>
      </c>
      <c r="C33" s="30" t="n">
        <f aca="false">IF((C14+273.15-(C8+273.15))&gt;0.5,((C14+273.15)/(C14+273.15-(C8+273.15)))*0.5,99)</f>
        <v>2.45371621621622</v>
      </c>
      <c r="D33" s="28" t="s">
        <v>77</v>
      </c>
    </row>
    <row r="34" customFormat="false" ht="19.5" hidden="false" customHeight="true" outlineLevel="0" collapsed="false">
      <c r="A34" s="26" t="s">
        <v>177</v>
      </c>
      <c r="B34" s="20" t="s">
        <v>135</v>
      </c>
      <c r="C34" s="27" t="n">
        <f aca="false">IF(C33&lt;90,C23/(C33-1),0)</f>
        <v>3450.46711596561</v>
      </c>
      <c r="D34" s="26" t="s">
        <v>48</v>
      </c>
    </row>
    <row r="35" customFormat="false" ht="15" hidden="false" customHeight="false" outlineLevel="0" collapsed="false">
      <c r="A35" s="25"/>
      <c r="B35" s="25"/>
      <c r="C35" s="25"/>
      <c r="D35" s="25"/>
    </row>
    <row r="36" customFormat="false" ht="21.75" hidden="false" customHeight="true" outlineLevel="0" collapsed="false">
      <c r="A36" s="22" t="s">
        <v>178</v>
      </c>
      <c r="B36" s="22"/>
      <c r="C36" s="22"/>
      <c r="D36" s="22"/>
    </row>
    <row r="37" customFormat="false" ht="19.5" hidden="false" customHeight="true" outlineLevel="0" collapsed="false">
      <c r="A37" s="26" t="s">
        <v>179</v>
      </c>
      <c r="B37" s="20" t="s">
        <v>180</v>
      </c>
      <c r="C37" s="27" t="n">
        <f aca="false">C8-C14</f>
        <v>-74</v>
      </c>
      <c r="D37" s="26" t="s">
        <v>82</v>
      </c>
    </row>
    <row r="38" customFormat="false" ht="19.5" hidden="false" customHeight="true" outlineLevel="0" collapsed="false">
      <c r="A38" s="26" t="s">
        <v>181</v>
      </c>
      <c r="B38" s="20" t="s">
        <v>182</v>
      </c>
      <c r="C38" s="27" t="n">
        <f aca="false">C11-C15</f>
        <v>-43</v>
      </c>
      <c r="D38" s="26" t="s">
        <v>82</v>
      </c>
    </row>
    <row r="39" customFormat="false" ht="19.5" hidden="false" customHeight="true" outlineLevel="0" collapsed="false">
      <c r="A39" s="28" t="s">
        <v>141</v>
      </c>
      <c r="B39" s="29" t="s">
        <v>141</v>
      </c>
      <c r="C39" s="30" t="str">
        <f aca="false">IF(AND(C37&gt;0,C38&gt;0),IF(ABS(C37-C38)&lt;0.001,C37,(C37-C38)/LN(C37/C38)),"n/a")</f>
        <v>n/a</v>
      </c>
      <c r="D39" s="28" t="s">
        <v>82</v>
      </c>
    </row>
    <row r="40" customFormat="false" ht="19.5" hidden="false" customHeight="true" outlineLevel="0" collapsed="false">
      <c r="A40" s="28" t="s">
        <v>183</v>
      </c>
      <c r="B40" s="29" t="s">
        <v>147</v>
      </c>
      <c r="C40" s="30" t="str">
        <f aca="false">IF(C39&lt;&gt;"n/a",C23*1000/(4000*C39),"n/a")</f>
        <v>n/a</v>
      </c>
      <c r="D40" s="28" t="s">
        <v>149</v>
      </c>
    </row>
    <row r="41" customFormat="false" ht="15" hidden="false" customHeight="false" outlineLevel="0" collapsed="false">
      <c r="A41" s="25"/>
      <c r="B41" s="25"/>
      <c r="C41" s="25"/>
      <c r="D41" s="25"/>
    </row>
    <row r="42" customFormat="false" ht="21.75" hidden="false" customHeight="true" outlineLevel="0" collapsed="false">
      <c r="A42" s="22" t="s">
        <v>184</v>
      </c>
      <c r="B42" s="22"/>
      <c r="C42" s="22"/>
      <c r="D42" s="22"/>
    </row>
    <row r="43" customFormat="false" ht="19.5" hidden="false" customHeight="true" outlineLevel="0" collapsed="false">
      <c r="A43" s="26" t="s">
        <v>185</v>
      </c>
      <c r="B43" s="20" t="s">
        <v>186</v>
      </c>
      <c r="C43" s="27" t="str">
        <f aca="false">IF(C19&gt;0.001,"GRÜN – gut",IF(C19&gt;0.0001,"GELB – grenzwertig","ROT – ungeeignet"))</f>
        <v>GRÜN – gut</v>
      </c>
      <c r="D43" s="26" t="s">
        <v>77</v>
      </c>
    </row>
    <row r="44" customFormat="false" ht="19.5" hidden="false" customHeight="true" outlineLevel="0" collapsed="false">
      <c r="A44" s="26" t="s">
        <v>187</v>
      </c>
      <c r="B44" s="20" t="s">
        <v>186</v>
      </c>
      <c r="C44" s="27" t="str">
        <f aca="false">IF(C11&gt;25,"GRÜN – &gt;25 J.",IF(C11&gt;15,"GELB – 15-25 J.","ROT – &lt;15 J."))</f>
        <v>ROT – &lt;15 J.</v>
      </c>
      <c r="D44" s="26" t="s">
        <v>77</v>
      </c>
    </row>
    <row r="45" customFormat="false" ht="19.5" hidden="false" customHeight="true" outlineLevel="0" collapsed="false">
      <c r="A45" s="26" t="s">
        <v>188</v>
      </c>
      <c r="B45" s="20" t="s">
        <v>186</v>
      </c>
      <c r="C45" s="27" t="str">
        <f aca="false">IF(C33&lt;90,IF(C33&gt;3,"GRÜN",IF(C33&gt;2,"GELB","ROT")),"Direktnutzung")</f>
        <v>GELB</v>
      </c>
      <c r="D45" s="26" t="s">
        <v>77</v>
      </c>
    </row>
    <row r="46" customFormat="false" ht="19.5" hidden="false" customHeight="true" outlineLevel="0" collapsed="false">
      <c r="A46" s="26" t="s">
        <v>189</v>
      </c>
      <c r="B46" s="20" t="s">
        <v>186</v>
      </c>
      <c r="C46" s="27" t="str">
        <f aca="false">IF(C32&lt;=0,"Direktnutzung",IF(C32&lt;=35,"Standard-WP",IF(C32&lt;=60,"Hochtemperatur-WP","Industrielle HT-WP / ORC")))</f>
        <v>Industrielle HT-WP / ORC</v>
      </c>
      <c r="D46" s="26" t="s">
        <v>77</v>
      </c>
    </row>
    <row r="47" customFormat="false" ht="15" hidden="false" customHeight="false" outlineLevel="0" collapsed="false">
      <c r="A47" s="25"/>
      <c r="B47" s="25"/>
      <c r="C47" s="25"/>
      <c r="D47" s="25"/>
    </row>
  </sheetData>
  <mergeCells count="7">
    <mergeCell ref="A1:D1"/>
    <mergeCell ref="A2:D2"/>
    <mergeCell ref="A4:D4"/>
    <mergeCell ref="A18:D18"/>
    <mergeCell ref="A31:D31"/>
    <mergeCell ref="A36:D36"/>
    <mergeCell ref="A42:D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70"/>
    <col collapsed="false" customWidth="true" hidden="false" outlineLevel="0" max="3" min="3" style="0" width="40"/>
  </cols>
  <sheetData>
    <row r="1" customFormat="false" ht="31.5" hidden="false" customHeight="true" outlineLevel="0" collapsed="false">
      <c r="A1" s="1" t="s">
        <v>190</v>
      </c>
      <c r="B1" s="1"/>
      <c r="C1" s="1"/>
    </row>
    <row r="2" customFormat="false" ht="7.5" hidden="false" customHeight="true" outlineLevel="0" collapsed="false"/>
    <row r="3" customFormat="false" ht="15" hidden="false" customHeight="false" outlineLevel="0" collapsed="false">
      <c r="A3" s="3" t="s">
        <v>191</v>
      </c>
      <c r="B3" s="3" t="s">
        <v>192</v>
      </c>
      <c r="C3" s="3" t="s">
        <v>193</v>
      </c>
    </row>
    <row r="4" customFormat="false" ht="36" hidden="false" customHeight="true" outlineLevel="0" collapsed="false">
      <c r="A4" s="31" t="s">
        <v>194</v>
      </c>
      <c r="B4" s="8" t="s">
        <v>195</v>
      </c>
      <c r="C4" s="18" t="s">
        <v>196</v>
      </c>
    </row>
    <row r="5" customFormat="false" ht="36" hidden="false" customHeight="true" outlineLevel="0" collapsed="false">
      <c r="A5" s="32" t="s">
        <v>139</v>
      </c>
      <c r="B5" s="13" t="s">
        <v>197</v>
      </c>
      <c r="C5" s="21" t="s">
        <v>198</v>
      </c>
    </row>
    <row r="6" customFormat="false" ht="36" hidden="false" customHeight="true" outlineLevel="0" collapsed="false">
      <c r="A6" s="31" t="s">
        <v>199</v>
      </c>
      <c r="B6" s="8" t="s">
        <v>200</v>
      </c>
      <c r="C6" s="18" t="s">
        <v>201</v>
      </c>
    </row>
    <row r="7" customFormat="false" ht="36" hidden="false" customHeight="true" outlineLevel="0" collapsed="false">
      <c r="A7" s="32" t="s">
        <v>202</v>
      </c>
      <c r="B7" s="13" t="s">
        <v>203</v>
      </c>
      <c r="C7" s="21" t="s">
        <v>204</v>
      </c>
    </row>
    <row r="8" customFormat="false" ht="36" hidden="false" customHeight="true" outlineLevel="0" collapsed="false">
      <c r="A8" s="31" t="s">
        <v>116</v>
      </c>
      <c r="B8" s="8" t="s">
        <v>205</v>
      </c>
      <c r="C8" s="18" t="s">
        <v>206</v>
      </c>
    </row>
    <row r="9" customFormat="false" ht="36" hidden="false" customHeight="true" outlineLevel="0" collapsed="false">
      <c r="A9" s="32" t="s">
        <v>207</v>
      </c>
      <c r="B9" s="13" t="s">
        <v>208</v>
      </c>
      <c r="C9" s="21" t="s">
        <v>209</v>
      </c>
    </row>
    <row r="10" customFormat="false" ht="36" hidden="false" customHeight="true" outlineLevel="0" collapsed="false">
      <c r="A10" s="31" t="s">
        <v>210</v>
      </c>
      <c r="B10" s="8" t="s">
        <v>211</v>
      </c>
      <c r="C10" s="18" t="s">
        <v>212</v>
      </c>
    </row>
    <row r="11" customFormat="false" ht="36" hidden="false" customHeight="true" outlineLevel="0" collapsed="false">
      <c r="A11" s="32" t="s">
        <v>145</v>
      </c>
      <c r="B11" s="13" t="s">
        <v>213</v>
      </c>
      <c r="C11" s="21" t="s">
        <v>214</v>
      </c>
    </row>
    <row r="12" customFormat="false" ht="36" hidden="false" customHeight="true" outlineLevel="0" collapsed="false">
      <c r="A12" s="31" t="s">
        <v>215</v>
      </c>
      <c r="B12" s="8" t="s">
        <v>216</v>
      </c>
      <c r="C12" s="18" t="s">
        <v>217</v>
      </c>
    </row>
    <row r="13" customFormat="false" ht="36" hidden="false" customHeight="true" outlineLevel="0" collapsed="false">
      <c r="A13" s="32" t="s">
        <v>218</v>
      </c>
      <c r="B13" s="13" t="s">
        <v>219</v>
      </c>
      <c r="C13" s="21" t="s">
        <v>220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49D6E0A7A118946AD9B848A570FFE1F" ma:contentTypeVersion="15" ma:contentTypeDescription="Ein neues Dokument erstellen." ma:contentTypeScope="" ma:versionID="20af03f8e2718f3cc9c7b1077d186036">
  <xsd:schema xmlns:xsd="http://www.w3.org/2001/XMLSchema" xmlns:xs="http://www.w3.org/2001/XMLSchema" xmlns:p="http://schemas.microsoft.com/office/2006/metadata/properties" xmlns:ns2="5535ad81-6440-4f71-8f36-c1ca10462588" xmlns:ns3="faa60347-2171-48b8-bd9e-c5505de47841" targetNamespace="http://schemas.microsoft.com/office/2006/metadata/properties" ma:root="true" ma:fieldsID="7aa3c08d413bbe231fe3144b3a5f5c66" ns2:_="" ns3:_="">
    <xsd:import namespace="5535ad81-6440-4f71-8f36-c1ca10462588"/>
    <xsd:import namespace="faa60347-2171-48b8-bd9e-c5505de478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35ad81-6440-4f71-8f36-c1ca1046258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Bildmarkierungen" ma:readOnly="false" ma:fieldId="{5cf76f15-5ced-4ddc-b409-7134ff3c332f}" ma:taxonomyMulti="true" ma:sspId="4862026c-5e36-4531-a148-058f528a74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a60347-2171-48b8-bd9e-c5505de47841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02f5942b-0c89-4216-aebf-23012597fbc7}" ma:internalName="TaxCatchAll" ma:showField="CatchAllData" ma:web="faa60347-2171-48b8-bd9e-c5505de478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535ad81-6440-4f71-8f36-c1ca10462588">
      <Terms xmlns="http://schemas.microsoft.com/office/infopath/2007/PartnerControls"/>
    </lcf76f155ced4ddcb4097134ff3c332f>
    <TaxCatchAll xmlns="faa60347-2171-48b8-bd9e-c5505de47841" xsi:nil="true"/>
  </documentManagement>
</p:properties>
</file>

<file path=customXml/itemProps1.xml><?xml version="1.0" encoding="utf-8"?>
<ds:datastoreItem xmlns:ds="http://schemas.openxmlformats.org/officeDocument/2006/customXml" ds:itemID="{3EB13871-A0E4-4C1A-9F91-BEFF4C5BFA1F}"/>
</file>

<file path=customXml/itemProps2.xml><?xml version="1.0" encoding="utf-8"?>
<ds:datastoreItem xmlns:ds="http://schemas.openxmlformats.org/officeDocument/2006/customXml" ds:itemID="{EEFDFB7A-4E94-42D9-A663-9FF181A3D3FC}"/>
</file>

<file path=customXml/itemProps3.xml><?xml version="1.0" encoding="utf-8"?>
<ds:datastoreItem xmlns:ds="http://schemas.openxmlformats.org/officeDocument/2006/customXml" ds:itemID="{FEA98861-107F-40FC-8361-91BE9CB03A2B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/>
  <cp:revision>0</cp:revision>
  <dcterms:created xsi:type="dcterms:W3CDTF">2026-04-02T21:30:53Z</dcterms:created>
  <dcterms:modified xsi:type="dcterms:W3CDTF">2026-04-02T21:30:53Z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0x010100049D6E0A7A118946AD9B848A570FFE1F</vt:lpwstr>
  </property>
</Properties>
</file>